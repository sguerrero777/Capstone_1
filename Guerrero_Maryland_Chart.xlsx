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pivotTables/pivotTable1.xml" ContentType="application/vnd.openxmlformats-officedocument.spreadsheetml.pivotTable+xml"/>
  <Override PartName="/xl/drawings/drawing4.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pivotTables/pivotTable5.xml" ContentType="application/vnd.openxmlformats-officedocument.spreadsheetml.pivotTable+xml"/>
  <Override PartName="/xl/drawings/drawing8.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sguer\Documents\DATA_Labs\Capstone_1\"/>
    </mc:Choice>
  </mc:AlternateContent>
  <xr:revisionPtr revIDLastSave="0" documentId="13_ncr:1_{69EF7538-B2D5-4437-9A10-0B40B02BD241}" xr6:coauthVersionLast="47" xr6:coauthVersionMax="47" xr10:uidLastSave="{00000000-0000-0000-0000-000000000000}"/>
  <bookViews>
    <workbookView xWindow="772" yWindow="195" windowWidth="20191" windowHeight="12780" firstSheet="1" activeTab="1" xr2:uid="{C104094F-8F30-45F4-97A0-6B063CB87B83}"/>
  </bookViews>
  <sheets>
    <sheet name="Dashboard" sheetId="9" r:id="rId1"/>
    <sheet name="Executive Report" sheetId="11" r:id="rId2"/>
    <sheet name="Data_Q2" sheetId="4" r:id="rId3"/>
    <sheet name="Data_Q4" sheetId="2" r:id="rId4"/>
    <sheet name="Data_Q5" sheetId="5" r:id="rId5"/>
    <sheet name="Data_Q6A" sheetId="6" r:id="rId6"/>
    <sheet name="Data_Q6B" sheetId="8" r:id="rId7"/>
  </sheets>
  <definedNames>
    <definedName name="D7\">Dashboard!$E$26</definedName>
    <definedName name="ExternalData_1" localSheetId="3" hidden="1">Data_Q4!$A$1:$E$201</definedName>
    <definedName name="ExternalData_2" localSheetId="2" hidden="1">Data_Q2!$A$1:$B$49</definedName>
    <definedName name="ExternalData_3" localSheetId="4" hidden="1">Data_Q5!$A$1:$F$10</definedName>
    <definedName name="ExternalData_4" localSheetId="5" hidden="1">Data_Q6A!$A$1:$E$11</definedName>
    <definedName name="ExternalData_5" localSheetId="6" hidden="1">Data_Q6B!$A$1:$E$25</definedName>
    <definedName name="Slicer_Product_Category">#N/A</definedName>
    <definedName name="Slicer_Years__Revenue_Month">#N/A</definedName>
  </definedNames>
  <calcPr calcId="191029"/>
  <pivotCaches>
    <pivotCache cacheId="5" r:id="rId8"/>
    <pivotCache cacheId="6" r:id="rId9"/>
    <pivotCache cacheId="7" r:id="rId10"/>
    <pivotCache cacheId="8" r:id="rId11"/>
    <pivotCache cacheId="9"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4C4B51-24D7-42D3-8C22-388AF823A4B2}" keepAlive="1" name="Query - q2_Maryland_Monthly_Revenue" description="Connection to the 'q2_Maryland_Monthly_Revenue' query in the workbook." type="5" refreshedVersion="8" background="1" saveData="1">
    <dbPr connection="Provider=Microsoft.Mashup.OleDb.1;Data Source=$Workbook$;Location=q2_Maryland_Monthly_Revenue;Extended Properties=&quot;&quot;" command="SELECT * FROM [q2_Maryland_Monthly_Revenue]"/>
  </connection>
  <connection id="2" xr16:uid="{592CB573-5AC2-4E6A-9EA8-D7A4F96230B2}" keepAlive="1" name="Query - q4_Maryland_Caetegory_Analysis" description="Connection to the 'q4_Maryland_Caetegory_Analysis' query in the workbook." type="5" refreshedVersion="8" background="1" saveData="1">
    <dbPr connection="Provider=Microsoft.Mashup.OleDb.1;Data Source=$Workbook$;Location=q4_Maryland_Caetegory_Analysis;Extended Properties=&quot;&quot;" command="SELECT * FROM [q4_Maryland_Caetegory_Analysis]"/>
  </connection>
  <connection id="3" xr16:uid="{40A46C4C-6955-4981-9343-D9A1FE504774}" keepAlive="1" name="Query - q5_Maryland_Stores_Performance" description="Connection to the 'q5_Maryland_Stores_Performance' query in the workbook." type="5" refreshedVersion="8" background="1" saveData="1">
    <dbPr connection="Provider=Microsoft.Mashup.OleDb.1;Data Source=$Workbook$;Location=q5_Maryland_Stores_Performance;Extended Properties=&quot;&quot;" command="SELECT * FROM [q5_Maryland_Stores_Performance]"/>
  </connection>
  <connection id="4" xr16:uid="{DED2DAA9-514C-4638-B938-3F73512F621F}" keepAlive="1" name="Query - q6a_Maryland_Top_Products" description="Connection to the 'q6a_Maryland_Top_Products' query in the workbook." type="5" refreshedVersion="8" background="1" saveData="1">
    <dbPr connection="Provider=Microsoft.Mashup.OleDb.1;Data Source=$Workbook$;Location=q6a_Maryland_Top_Products;Extended Properties=&quot;&quot;" command="SELECT * FROM [q6a_Maryland_Top_Products]"/>
  </connection>
  <connection id="5" xr16:uid="{990AB66D-AEBA-412A-829F-5A8A34F5C8BE}" keepAlive="1" name="Query - q6b_Maryland_Category_Revenue_Trend" description="Connection to the 'q6b_Maryland_Category_Revenue_Trend' query in the workbook." type="5" refreshedVersion="0" background="1" saveData="1">
    <dbPr connection="Provider=Microsoft.Mashup.OleDb.1;Data Source=$Workbook$;Location=q6b_Maryland_Category_Revenue_Trend;Extended Properties=&quot;&quot;" command="SELECT * FROM [q6b_Maryland_Category_Revenue_Trend]"/>
  </connection>
  <connection id="6" xr16:uid="{2D58FE5E-7A8C-4E5E-B2B7-8AADB45AD73F}" keepAlive="1" name="Query - q6b_Maryland_Category_Revenue_Trend (2)" description="Connection to the 'q6b_Maryland_Category_Revenue_Trend (2)' query in the workbook." type="5" refreshedVersion="8" background="1" saveData="1">
    <dbPr connection="Provider=Microsoft.Mashup.OleDb.1;Data Source=$Workbook$;Location=&quot;q6b_Maryland_Category_Revenue_Trend (2)&quot;;Extended Properties=&quot;&quot;" command="SELECT * FROM [q6b_Maryland_Category_Revenue_Trend (2)]"/>
  </connection>
</connections>
</file>

<file path=xl/sharedStrings.xml><?xml version="1.0" encoding="utf-8"?>
<sst xmlns="http://schemas.openxmlformats.org/spreadsheetml/2006/main" count="362" uniqueCount="85">
  <si>
    <t>Revenue_Month</t>
  </si>
  <si>
    <t>Product_Category</t>
  </si>
  <si>
    <t>Transaction_Count</t>
  </si>
  <si>
    <t>Average_Transaction_Size</t>
  </si>
  <si>
    <t>Category_Revenue</t>
  </si>
  <si>
    <t>Technology &amp; Accessories</t>
  </si>
  <si>
    <t>Textbooks</t>
  </si>
  <si>
    <t>Books (General)</t>
  </si>
  <si>
    <t>Apparel and Merchandise</t>
  </si>
  <si>
    <t>Art Supplies</t>
  </si>
  <si>
    <t>Stationery and Supplies</t>
  </si>
  <si>
    <t>Grand Total</t>
  </si>
  <si>
    <t>Sum of Category_Revenue</t>
  </si>
  <si>
    <t>Sum of Transaction_Count</t>
  </si>
  <si>
    <t>Average of Average_Transaction_Size</t>
  </si>
  <si>
    <t>Category</t>
  </si>
  <si>
    <t>Monthly_Revenue</t>
  </si>
  <si>
    <t>Store_ID</t>
  </si>
  <si>
    <t>Store_City</t>
  </si>
  <si>
    <t>Total_Revenue</t>
  </si>
  <si>
    <t>Store_Rank</t>
  </si>
  <si>
    <t>North Harford</t>
  </si>
  <si>
    <t>Germantown</t>
  </si>
  <si>
    <t>Parkville</t>
  </si>
  <si>
    <t>Howard</t>
  </si>
  <si>
    <t>Ridgely</t>
  </si>
  <si>
    <t>Baltimore</t>
  </si>
  <si>
    <t>Back River</t>
  </si>
  <si>
    <t>Queen Anne's County</t>
  </si>
  <si>
    <t>Annapolis</t>
  </si>
  <si>
    <t>ProdNum</t>
  </si>
  <si>
    <t>Product</t>
  </si>
  <si>
    <t>105341-IT</t>
  </si>
  <si>
    <t>MSI Creator Z16</t>
  </si>
  <si>
    <t>105326-IT</t>
  </si>
  <si>
    <t>Apple MacBook Air (M2, 13-inch)</t>
  </si>
  <si>
    <t>105325-IT</t>
  </si>
  <si>
    <t>Apple MacBook Pro (M2, 14-inch)</t>
  </si>
  <si>
    <t>105324-IT</t>
  </si>
  <si>
    <t>Lenovo IdeaPad Flex 5</t>
  </si>
  <si>
    <t>105330-IT</t>
  </si>
  <si>
    <t>LG Gram 17</t>
  </si>
  <si>
    <t>105334-IT</t>
  </si>
  <si>
    <t>Samsung Galaxy Book Pro</t>
  </si>
  <si>
    <t>105327-IT</t>
  </si>
  <si>
    <t>Lenovo ThinkPad X1 Carbon</t>
  </si>
  <si>
    <t>105333-IT</t>
  </si>
  <si>
    <t>ASUS VivoBook S15</t>
  </si>
  <si>
    <t>105332-IT</t>
  </si>
  <si>
    <t>HP Spectre x360</t>
  </si>
  <si>
    <t>105338-IT</t>
  </si>
  <si>
    <t>Dell Inspiron 15</t>
  </si>
  <si>
    <t>Year</t>
  </si>
  <si>
    <t>Annual_Revenue</t>
  </si>
  <si>
    <t>Previous_Year_Revenue</t>
  </si>
  <si>
    <t>Revenue_Change</t>
  </si>
  <si>
    <t>Sum of Monthly_Revenue</t>
  </si>
  <si>
    <t>Month</t>
  </si>
  <si>
    <t>Sum of Total_Revenue</t>
  </si>
  <si>
    <t>Sum of Annual_Revenue</t>
  </si>
  <si>
    <t>Category Breakdown</t>
  </si>
  <si>
    <t>City Location</t>
  </si>
  <si>
    <t>Macbook Air M2</t>
  </si>
  <si>
    <t>Macbook Pro M2</t>
  </si>
  <si>
    <t>IdeaPad Flex 5</t>
  </si>
  <si>
    <t>Galaxy Book Pro</t>
  </si>
  <si>
    <t>ThinkPad X1</t>
  </si>
  <si>
    <t>VivoBook S15</t>
  </si>
  <si>
    <t>Products</t>
  </si>
  <si>
    <t>Revenue</t>
  </si>
  <si>
    <t>Transactions</t>
  </si>
  <si>
    <t xml:space="preserve">Jan 2022 – Dec 2025 </t>
  </si>
  <si>
    <t xml:space="preserve">Sales Manager: Shruti Reddy ·  Northeast Region </t>
  </si>
  <si>
    <t>EmporiUm — Maryland Sales Territory</t>
  </si>
  <si>
    <t>TOTAL REVENUE</t>
  </si>
  <si>
    <t>\</t>
  </si>
  <si>
    <t>All stores · All years</t>
  </si>
  <si>
    <t>Tech &amp; Accessories</t>
  </si>
  <si>
    <t>+$521,972 Growth</t>
  </si>
  <si>
    <t>TOP CATEGORY</t>
  </si>
  <si>
    <t>TOP STORE</t>
  </si>
  <si>
    <t>NORTHEAST RANK</t>
  </si>
  <si>
    <t># 1</t>
  </si>
  <si>
    <t>47.25% of Region Revenue</t>
  </si>
  <si>
    <t>$8.7M · 69,530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</si>
</sst>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6" formatCode="&quot;$&quot;#,##0_);[Red]\(&quot;$&quot;#,##0\)"/>
    <numFmt numFmtId="8" formatCode="&quot;$&quot;#,##0.00_);[Red]\(&quot;$&quot;#,##0.00\)"/>
    <numFmt numFmtId="164" formatCode="&quot;$&quot;#,##0.00"/>
    <numFmt numFmtId="165" formatCode="yyyy\-mm\-dd;@"/>
    <numFmt numFmtId="166" formatCode="yyyy\-mm\-dd"/>
    <numFmt numFmtId="167" formatCode="&quot;$&quot;#,##0"/>
  </numFmts>
  <fonts count="14" x14ac:knownFonts="1">
    <font>
      <sz val="11"/>
      <color theme="1"/>
      <name val="Aptos Narrow"/>
      <family val="2"/>
      <scheme val="minor"/>
    </font>
    <font>
      <b/>
      <sz val="16"/>
      <color theme="0"/>
      <name val="Aptos Narrow"/>
      <family val="2"/>
      <scheme val="minor"/>
    </font>
    <font>
      <sz val="16"/>
      <color rgb="FF8892B0"/>
      <name val="Calibri"/>
      <family val="2"/>
    </font>
    <font>
      <sz val="11"/>
      <color rgb="FF1E2235"/>
      <name val="Aptos Narrow"/>
      <family val="2"/>
      <scheme val="minor"/>
    </font>
    <font>
      <sz val="11"/>
      <color theme="1"/>
      <name val="Calibri"/>
      <family val="2"/>
    </font>
    <font>
      <sz val="14"/>
      <color theme="1"/>
      <name val="Calibri"/>
      <family val="2"/>
    </font>
    <font>
      <sz val="8"/>
      <color rgb="FF02C39A"/>
      <name val="Calibri"/>
      <family val="2"/>
    </font>
    <font>
      <b/>
      <sz val="13"/>
      <color rgb="FF02C39A"/>
      <name val="Calibri"/>
      <family val="2"/>
    </font>
    <font>
      <b/>
      <sz val="13"/>
      <color rgb="FF1E2235"/>
      <name val="Calibri"/>
      <family val="2"/>
    </font>
    <font>
      <sz val="11"/>
      <color rgb="FF8892B0"/>
      <name val="Calibri"/>
      <family val="2"/>
    </font>
    <font>
      <sz val="8"/>
      <color rgb="FF8892B0"/>
      <name val="Calibri"/>
      <family val="2"/>
    </font>
    <font>
      <b/>
      <sz val="13"/>
      <color rgb="FF378ADD"/>
      <name val="Calibri"/>
      <family val="2"/>
    </font>
    <font>
      <b/>
      <sz val="13"/>
      <color rgb="FFD85A30"/>
      <name val="Calibri"/>
      <family val="2"/>
    </font>
    <font>
      <b/>
      <sz val="13"/>
      <color rgb="FFEF9F27"/>
      <name val="Calibri"/>
      <family val="2"/>
    </font>
  </fonts>
  <fills count="9">
    <fill>
      <patternFill patternType="none"/>
    </fill>
    <fill>
      <patternFill patternType="gray125"/>
    </fill>
    <fill>
      <patternFill patternType="solid">
        <fgColor rgb="FF1E2235"/>
        <bgColor indexed="64"/>
      </patternFill>
    </fill>
    <fill>
      <patternFill patternType="solid">
        <fgColor rgb="FF02C39A"/>
        <bgColor indexed="64"/>
      </patternFill>
    </fill>
    <fill>
      <patternFill patternType="solid">
        <fgColor theme="0"/>
        <bgColor indexed="64"/>
      </patternFill>
    </fill>
    <fill>
      <patternFill patternType="solid">
        <fgColor rgb="FF378ADD"/>
        <bgColor indexed="64"/>
      </patternFill>
    </fill>
    <fill>
      <patternFill patternType="solid">
        <fgColor rgb="FFEF9F27"/>
        <bgColor indexed="64"/>
      </patternFill>
    </fill>
    <fill>
      <patternFill patternType="solid">
        <fgColor rgb="FFD85A30"/>
        <bgColor indexed="64"/>
      </patternFill>
    </fill>
    <fill>
      <patternFill patternType="solid">
        <fgColor rgb="FF3A406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s>
  <cellStyleXfs count="1">
    <xf numFmtId="0" fontId="0" fillId="0" borderId="0"/>
  </cellStyleXfs>
  <cellXfs count="65">
    <xf numFmtId="0" fontId="0" fillId="0" borderId="0" xfId="0"/>
    <xf numFmtId="8"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2" xfId="0" applyBorder="1"/>
    <xf numFmtId="0" fontId="0" fillId="0" borderId="3" xfId="0" applyBorder="1"/>
    <xf numFmtId="164" fontId="0" fillId="0" borderId="5" xfId="0" applyNumberFormat="1" applyBorder="1"/>
    <xf numFmtId="164" fontId="0" fillId="0" borderId="7" xfId="0" applyNumberFormat="1" applyBorder="1"/>
    <xf numFmtId="0" fontId="0" fillId="0" borderId="1" xfId="0" applyBorder="1"/>
    <xf numFmtId="0" fontId="0" fillId="0" borderId="7" xfId="0" applyBorder="1"/>
    <xf numFmtId="0" fontId="0" fillId="0" borderId="6" xfId="0" applyBorder="1"/>
    <xf numFmtId="165" fontId="0" fillId="0" borderId="4" xfId="0" applyNumberFormat="1" applyBorder="1"/>
    <xf numFmtId="165" fontId="0" fillId="0" borderId="6" xfId="0" applyNumberFormat="1" applyBorder="1"/>
    <xf numFmtId="165" fontId="0" fillId="0" borderId="0" xfId="0" applyNumberFormat="1" applyAlignment="1">
      <alignment horizontal="left"/>
    </xf>
    <xf numFmtId="166" fontId="0" fillId="0" borderId="2" xfId="0" applyNumberFormat="1" applyBorder="1"/>
    <xf numFmtId="0" fontId="0" fillId="0" borderId="8" xfId="0" applyBorder="1"/>
    <xf numFmtId="166" fontId="0" fillId="0" borderId="4" xfId="0" applyNumberFormat="1" applyBorder="1"/>
    <xf numFmtId="164" fontId="0" fillId="0" borderId="1" xfId="0" applyNumberFormat="1" applyBorder="1"/>
    <xf numFmtId="8" fontId="0" fillId="0" borderId="5" xfId="0" applyNumberFormat="1" applyBorder="1"/>
    <xf numFmtId="166" fontId="0" fillId="0" borderId="6" xfId="0" applyNumberFormat="1" applyBorder="1"/>
    <xf numFmtId="0" fontId="0" fillId="0" borderId="9" xfId="0" applyBorder="1"/>
    <xf numFmtId="164" fontId="0" fillId="0" borderId="9" xfId="0" applyNumberFormat="1" applyBorder="1"/>
    <xf numFmtId="8" fontId="0" fillId="0" borderId="7" xfId="0" applyNumberFormat="1" applyBorder="1"/>
    <xf numFmtId="0" fontId="0" fillId="0" borderId="4" xfId="0" applyBorder="1"/>
    <xf numFmtId="0" fontId="0" fillId="0" borderId="5" xfId="0" applyBorder="1"/>
    <xf numFmtId="2" fontId="0" fillId="0" borderId="5" xfId="0" applyNumberFormat="1" applyBorder="1"/>
    <xf numFmtId="2" fontId="0" fillId="0" borderId="7" xfId="0" applyNumberFormat="1" applyBorder="1"/>
    <xf numFmtId="167" fontId="0" fillId="0" borderId="0" xfId="0" applyNumberFormat="1"/>
    <xf numFmtId="0" fontId="0" fillId="2" borderId="0" xfId="0" applyFill="1"/>
    <xf numFmtId="0" fontId="1" fillId="2" borderId="0" xfId="0" applyFont="1" applyFill="1"/>
    <xf numFmtId="0" fontId="2" fillId="2" borderId="0" xfId="0" applyFont="1" applyFill="1"/>
    <xf numFmtId="0" fontId="0" fillId="3" borderId="10" xfId="0" applyFill="1" applyBorder="1"/>
    <xf numFmtId="0" fontId="0" fillId="3" borderId="0" xfId="0" applyFill="1"/>
    <xf numFmtId="0" fontId="0" fillId="4" borderId="0" xfId="0" applyFill="1"/>
    <xf numFmtId="0" fontId="3" fillId="4" borderId="0" xfId="0" applyFont="1" applyFill="1"/>
    <xf numFmtId="0" fontId="3" fillId="2" borderId="0" xfId="0" applyFont="1" applyFill="1"/>
    <xf numFmtId="0" fontId="0" fillId="5" borderId="0" xfId="0" applyFill="1"/>
    <xf numFmtId="0" fontId="0" fillId="6" borderId="0" xfId="0" applyFill="1"/>
    <xf numFmtId="0" fontId="0" fillId="7" borderId="0" xfId="0" applyFill="1"/>
    <xf numFmtId="0" fontId="0" fillId="8" borderId="0" xfId="0" applyFill="1"/>
    <xf numFmtId="0" fontId="3" fillId="8" borderId="0" xfId="0" applyFont="1" applyFill="1"/>
    <xf numFmtId="0" fontId="6" fillId="4" borderId="0" xfId="0" applyFont="1" applyFill="1" applyAlignment="1">
      <alignment horizontal="center" vertical="center"/>
    </xf>
    <xf numFmtId="6" fontId="5" fillId="4" borderId="0" xfId="0" applyNumberFormat="1" applyFont="1" applyFill="1" applyAlignment="1">
      <alignment horizontal="left" vertical="center" indent="1"/>
    </xf>
    <xf numFmtId="0" fontId="0" fillId="3" borderId="0" xfId="0" applyFill="1" applyAlignment="1">
      <alignment horizontal="left" indent="1"/>
    </xf>
    <xf numFmtId="0" fontId="0" fillId="2" borderId="0" xfId="0" applyFill="1" applyAlignment="1">
      <alignment horizontal="left" indent="1"/>
    </xf>
    <xf numFmtId="0" fontId="0" fillId="4" borderId="0" xfId="0" applyFill="1" applyAlignment="1">
      <alignment horizontal="left" indent="1"/>
    </xf>
    <xf numFmtId="0" fontId="0" fillId="5" borderId="0" xfId="0" applyFill="1" applyAlignment="1">
      <alignment horizontal="left" indent="1"/>
    </xf>
    <xf numFmtId="0" fontId="0" fillId="6" borderId="0" xfId="0" applyFill="1" applyAlignment="1">
      <alignment horizontal="left" indent="1"/>
    </xf>
    <xf numFmtId="0" fontId="0" fillId="7" borderId="0" xfId="0" applyFill="1" applyAlignment="1">
      <alignment horizontal="left" indent="1"/>
    </xf>
    <xf numFmtId="0" fontId="3" fillId="4" borderId="0" xfId="0" applyFont="1" applyFill="1" applyAlignment="1">
      <alignment horizontal="left" indent="1"/>
    </xf>
    <xf numFmtId="0" fontId="3" fillId="2" borderId="0" xfId="0" applyFont="1" applyFill="1" applyAlignment="1">
      <alignment horizontal="left" indent="1"/>
    </xf>
    <xf numFmtId="0" fontId="7" fillId="4" borderId="0" xfId="0" applyFont="1" applyFill="1" applyAlignment="1">
      <alignment horizontal="center"/>
    </xf>
    <xf numFmtId="0" fontId="4" fillId="4" borderId="0" xfId="0" applyFont="1" applyFill="1"/>
    <xf numFmtId="6" fontId="8" fillId="4" borderId="0" xfId="0" applyNumberFormat="1" applyFont="1" applyFill="1" applyAlignment="1">
      <alignment horizontal="center"/>
    </xf>
    <xf numFmtId="0" fontId="4" fillId="4" borderId="0" xfId="0" applyFont="1" applyFill="1" applyAlignment="1">
      <alignment horizontal="center" vertical="center"/>
    </xf>
    <xf numFmtId="0" fontId="9" fillId="4" borderId="0" xfId="0" applyFont="1" applyFill="1" applyAlignment="1">
      <alignment horizontal="center"/>
    </xf>
    <xf numFmtId="0" fontId="10" fillId="4" borderId="0" xfId="0" applyFont="1" applyFill="1" applyAlignment="1">
      <alignment horizontal="left" vertical="center" indent="1"/>
    </xf>
    <xf numFmtId="0" fontId="9" fillId="4" borderId="0" xfId="0" applyFont="1" applyFill="1" applyAlignment="1">
      <alignment horizontal="center" vertical="center"/>
    </xf>
    <xf numFmtId="0" fontId="4" fillId="4" borderId="0" xfId="0" applyFont="1" applyFill="1" applyAlignment="1">
      <alignment horizontal="left" indent="1"/>
    </xf>
    <xf numFmtId="0" fontId="11" fillId="4" borderId="0" xfId="0" applyFont="1" applyFill="1" applyAlignment="1">
      <alignment horizontal="center"/>
    </xf>
    <xf numFmtId="0" fontId="8" fillId="4" borderId="0" xfId="0" applyFont="1" applyFill="1" applyAlignment="1">
      <alignment horizontal="center"/>
    </xf>
    <xf numFmtId="0" fontId="9" fillId="4" borderId="0" xfId="0" quotePrefix="1" applyFont="1" applyFill="1" applyAlignment="1">
      <alignment horizontal="center"/>
    </xf>
    <xf numFmtId="0" fontId="13" fillId="4" borderId="0" xfId="0" applyFont="1" applyFill="1" applyAlignment="1">
      <alignment horizontal="center"/>
    </xf>
    <xf numFmtId="0" fontId="12" fillId="4" borderId="0" xfId="0" applyFont="1" applyFill="1" applyAlignment="1">
      <alignment horizontal="center"/>
    </xf>
  </cellXfs>
  <cellStyles count="1">
    <cellStyle name="Normal" xfId="0" builtinId="0"/>
  </cellStyles>
  <dxfs count="50">
    <dxf>
      <font>
        <color rgb="FFC00000"/>
      </font>
    </dxf>
    <dxf>
      <font>
        <color theme="9"/>
      </font>
    </dxf>
    <dxf>
      <numFmt numFmtId="2" formatCode="0.00"/>
      <border diagonalUp="0" diagonalDown="0">
        <left style="thin">
          <color indexed="64"/>
        </left>
        <right/>
        <top style="thin">
          <color indexed="64"/>
        </top>
        <bottom style="thin">
          <color indexed="64"/>
        </bottom>
        <vertical style="thin">
          <color indexed="64"/>
        </vertical>
        <horizontal style="thin">
          <color indexed="64"/>
        </horizontal>
      </border>
    </dxf>
    <dxf>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12" formatCode="&quot;$&quot;#,##0.00_);[Red]\(&quot;$&quot;#,##0.00\)"/>
      <border diagonalUp="0" diagonalDown="0">
        <left style="thin">
          <color indexed="64"/>
        </left>
        <right/>
        <top style="thin">
          <color indexed="64"/>
        </top>
        <bottom style="thin">
          <color indexed="64"/>
        </bottom>
        <vertical style="thin">
          <color indexed="64"/>
        </vertical>
        <horizontal style="thin">
          <color indexed="64"/>
        </horizontal>
      </border>
    </dxf>
    <dxf>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yyyy\-mm\-dd"/>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164" formatCode="&quot;$&quot;#,##0.00"/>
    </dxf>
    <dxf>
      <numFmt numFmtId="164" formatCode="&quot;$&quot;#,##0.00"/>
      <border diagonalUp="0" diagonalDown="0">
        <left style="thin">
          <color indexed="64"/>
        </left>
        <right/>
        <top style="thin">
          <color indexed="64"/>
        </top>
        <bottom style="thin">
          <color indexed="64"/>
        </bottom>
        <vertical style="thin">
          <color indexed="64"/>
        </vertical>
        <horizontal style="thin">
          <color indexed="64"/>
        </horizontal>
      </border>
    </dxf>
    <dxf>
      <numFmt numFmtId="165" formatCode="yyyy\-mm\-dd;@"/>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i val="0"/>
        <color theme="0"/>
        <name val="Calibri"/>
        <family val="2"/>
      </font>
      <fill>
        <patternFill>
          <bgColor rgb="FF3A4060"/>
        </patternFill>
      </fill>
    </dxf>
    <dxf>
      <fill>
        <patternFill>
          <bgColor rgb="FF3A4060"/>
        </patternFill>
      </fill>
    </dxf>
    <dxf>
      <fill>
        <patternFill>
          <fgColor rgb="FF252B42"/>
          <bgColor rgb="FF252B42"/>
        </patternFill>
      </fill>
    </dxf>
    <dxf>
      <fill>
        <patternFill>
          <fgColor rgb="FF252B42"/>
        </patternFill>
      </fill>
    </dxf>
  </dxfs>
  <tableStyles count="3" defaultTableStyle="TableStyleMedium2" defaultPivotStyle="PivotStyleLight16">
    <tableStyle name="Dashboard Style" pivot="0" table="0" count="2" xr9:uid="{09EE4AD5-3EB9-49F5-B478-5CD87068D450}">
      <tableStyleElement type="wholeTable" dxfId="49"/>
    </tableStyle>
    <tableStyle name="DB Style" pivot="0" table="0" count="2" xr9:uid="{9B34C3D6-A2FF-4DAF-834D-8B3242266DE7}">
      <tableStyleElement type="wholeTable" dxfId="48"/>
    </tableStyle>
    <tableStyle name="Slicer Style 1" pivot="0" table="0" count="4" xr9:uid="{2B73744B-630A-4AB7-96DC-FE7A34B944C2}">
      <tableStyleElement type="wholeTable" dxfId="47"/>
      <tableStyleElement type="headerRow" dxfId="46"/>
    </tableStyle>
  </tableStyles>
  <colors>
    <mruColors>
      <color rgb="FF1E2235"/>
      <color rgb="FF02C39A"/>
      <color rgb="FF3A4060"/>
      <color rgb="FF8892B0"/>
      <color rgb="FF378ADD"/>
      <color rgb="FF252B42"/>
      <color rgb="FFD85A30"/>
      <color rgb="FFEF9F27"/>
      <color rgb="FF028090"/>
      <color rgb="FFB85042"/>
    </mruColors>
  </colors>
  <extLst>
    <ext xmlns:x14="http://schemas.microsoft.com/office/spreadsheetml/2009/9/main" uri="{46F421CA-312F-682f-3DD2-61675219B42D}">
      <x14:dxfs count="4">
        <dxf>
          <fill>
            <patternFill>
              <bgColor rgb="FF378ADD"/>
            </patternFill>
          </fill>
        </dxf>
        <dxf>
          <font>
            <color theme="0"/>
            <name val="Calibri"/>
            <family val="2"/>
          </font>
        </dxf>
        <dxf>
          <fill>
            <patternFill>
              <bgColor rgb="FF02C39A"/>
            </patternFill>
          </fill>
        </dxf>
        <dxf>
          <fill>
            <patternFill>
              <fgColor rgb="FF02C39A"/>
            </patternFill>
          </fill>
        </dxf>
      </x14:dxfs>
    </ext>
    <ext xmlns:x14="http://schemas.microsoft.com/office/spreadsheetml/2009/9/main" uri="{EB79DEF2-80B8-43e5-95BD-54CBDDF9020C}">
      <x14:slicerStyles defaultSlicerStyle="SlicerStyleLight1">
        <x14:slicerStyle name="Dashboard Style">
          <x14:slicerStyleElements>
            <x14:slicerStyleElement type="selectedItemWithData" dxfId="3"/>
          </x14:slicerStyleElements>
        </x14:slicerStyle>
        <x14:slicerStyle name="DB Style">
          <x14:slicerStyleElements>
            <x14:slicerStyleElement type="selectedItemWithData" dxfId="2"/>
          </x14:slicerStyleElements>
        </x14:slicerStyle>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3.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[Guerrero_Maryland_Chart.xlsx]Data_Q2!PivotTable3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b="1"/>
              <a:t>Total 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28575" cap="rnd">
            <a:solidFill>
              <a:srgbClr val="02809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Data_Q2!$E$2</c:f>
              <c:strCache>
                <c:ptCount val="1"/>
                <c:pt idx="0">
                  <c:v>Total</c:v>
                </c:pt>
              </c:strCache>
            </c:strRef>
          </c:tx>
          <c:spPr>
            <a:ln w="28575" cap="rnd">
              <a:solidFill>
                <a:schemeClr val="accent6"/>
              </a:solidFill>
              <a:round/>
            </a:ln>
            <a:effectLst/>
          </c:spPr>
          <c:marker>
            <c:symbol val="none"/>
          </c:marker>
          <c:cat>
            <c:strRef>
              <c:f>Data_Q2!$D$3:$D$51</c:f>
              <c:strCache>
                <c:ptCount val="48"/>
                <c:pt idx="0">
                  <c:v>2022-01-01</c:v>
                </c:pt>
                <c:pt idx="1">
                  <c:v>2022-02-01</c:v>
                </c:pt>
                <c:pt idx="2">
                  <c:v>2022-03-01</c:v>
                </c:pt>
                <c:pt idx="3">
                  <c:v>2022-04-01</c:v>
                </c:pt>
                <c:pt idx="4">
                  <c:v>2022-05-01</c:v>
                </c:pt>
                <c:pt idx="5">
                  <c:v>2022-06-01</c:v>
                </c:pt>
                <c:pt idx="6">
                  <c:v>2022-07-01</c:v>
                </c:pt>
                <c:pt idx="7">
                  <c:v>2022-08-01</c:v>
                </c:pt>
                <c:pt idx="8">
                  <c:v>2022-09-01</c:v>
                </c:pt>
                <c:pt idx="9">
                  <c:v>2022-10-01</c:v>
                </c:pt>
                <c:pt idx="10">
                  <c:v>2022-11-01</c:v>
                </c:pt>
                <c:pt idx="11">
                  <c:v>2022-12-01</c:v>
                </c:pt>
                <c:pt idx="12">
                  <c:v>2023-01-01</c:v>
                </c:pt>
                <c:pt idx="13">
                  <c:v>2023-02-01</c:v>
                </c:pt>
                <c:pt idx="14">
                  <c:v>2023-03-01</c:v>
                </c:pt>
                <c:pt idx="15">
                  <c:v>2023-04-01</c:v>
                </c:pt>
                <c:pt idx="16">
                  <c:v>2023-05-01</c:v>
                </c:pt>
                <c:pt idx="17">
                  <c:v>2023-06-01</c:v>
                </c:pt>
                <c:pt idx="18">
                  <c:v>2023-07-01</c:v>
                </c:pt>
                <c:pt idx="19">
                  <c:v>2023-08-01</c:v>
                </c:pt>
                <c:pt idx="20">
                  <c:v>2023-09-01</c:v>
                </c:pt>
                <c:pt idx="21">
                  <c:v>2023-10-01</c:v>
                </c:pt>
                <c:pt idx="22">
                  <c:v>2023-11-01</c:v>
                </c:pt>
                <c:pt idx="23">
                  <c:v>2023-12-01</c:v>
                </c:pt>
                <c:pt idx="24">
                  <c:v>2024-01-01</c:v>
                </c:pt>
                <c:pt idx="25">
                  <c:v>2024-02-01</c:v>
                </c:pt>
                <c:pt idx="26">
                  <c:v>2024-03-01</c:v>
                </c:pt>
                <c:pt idx="27">
                  <c:v>2024-04-01</c:v>
                </c:pt>
                <c:pt idx="28">
                  <c:v>2024-05-01</c:v>
                </c:pt>
                <c:pt idx="29">
                  <c:v>2024-06-01</c:v>
                </c:pt>
                <c:pt idx="30">
                  <c:v>2024-07-01</c:v>
                </c:pt>
                <c:pt idx="31">
                  <c:v>2024-08-01</c:v>
                </c:pt>
                <c:pt idx="32">
                  <c:v>2024-09-01</c:v>
                </c:pt>
                <c:pt idx="33">
                  <c:v>2024-10-01</c:v>
                </c:pt>
                <c:pt idx="34">
                  <c:v>2024-11-01</c:v>
                </c:pt>
                <c:pt idx="35">
                  <c:v>2024-12-01</c:v>
                </c:pt>
                <c:pt idx="36">
                  <c:v>2025-01-01</c:v>
                </c:pt>
                <c:pt idx="37">
                  <c:v>2025-02-01</c:v>
                </c:pt>
                <c:pt idx="38">
                  <c:v>2025-03-01</c:v>
                </c:pt>
                <c:pt idx="39">
                  <c:v>2025-04-01</c:v>
                </c:pt>
                <c:pt idx="40">
                  <c:v>2025-05-01</c:v>
                </c:pt>
                <c:pt idx="41">
                  <c:v>2025-06-01</c:v>
                </c:pt>
                <c:pt idx="42">
                  <c:v>2025-07-01</c:v>
                </c:pt>
                <c:pt idx="43">
                  <c:v>2025-08-01</c:v>
                </c:pt>
                <c:pt idx="44">
                  <c:v>2025-09-01</c:v>
                </c:pt>
                <c:pt idx="45">
                  <c:v>2025-10-01</c:v>
                </c:pt>
                <c:pt idx="46">
                  <c:v>2025-11-01</c:v>
                </c:pt>
                <c:pt idx="47">
                  <c:v>2025-12-01</c:v>
                </c:pt>
              </c:strCache>
            </c:strRef>
          </c:cat>
          <c:val>
            <c:numRef>
              <c:f>Data_Q2!$E$3:$E$51</c:f>
              <c:numCache>
                <c:formatCode>"$"#,##0.00</c:formatCode>
                <c:ptCount val="48"/>
                <c:pt idx="0">
                  <c:v>190064.9</c:v>
                </c:pt>
                <c:pt idx="1">
                  <c:v>197529.18</c:v>
                </c:pt>
                <c:pt idx="2">
                  <c:v>210228.48000000001</c:v>
                </c:pt>
                <c:pt idx="3">
                  <c:v>179004.18</c:v>
                </c:pt>
                <c:pt idx="4">
                  <c:v>212028.7</c:v>
                </c:pt>
                <c:pt idx="5">
                  <c:v>198318.98</c:v>
                </c:pt>
                <c:pt idx="6">
                  <c:v>231208.13</c:v>
                </c:pt>
                <c:pt idx="7">
                  <c:v>203503.4</c:v>
                </c:pt>
                <c:pt idx="8">
                  <c:v>158952.74</c:v>
                </c:pt>
                <c:pt idx="9">
                  <c:v>200423.07</c:v>
                </c:pt>
                <c:pt idx="10">
                  <c:v>202365.13</c:v>
                </c:pt>
                <c:pt idx="11">
                  <c:v>226340.81</c:v>
                </c:pt>
                <c:pt idx="12">
                  <c:v>247207.8</c:v>
                </c:pt>
                <c:pt idx="13">
                  <c:v>215146.55</c:v>
                </c:pt>
                <c:pt idx="14">
                  <c:v>212397.1</c:v>
                </c:pt>
                <c:pt idx="15">
                  <c:v>253354.48</c:v>
                </c:pt>
                <c:pt idx="16">
                  <c:v>236271.38</c:v>
                </c:pt>
                <c:pt idx="17">
                  <c:v>243603.42</c:v>
                </c:pt>
                <c:pt idx="18">
                  <c:v>218664.85</c:v>
                </c:pt>
                <c:pt idx="19">
                  <c:v>233256.77</c:v>
                </c:pt>
                <c:pt idx="20">
                  <c:v>227638.37</c:v>
                </c:pt>
                <c:pt idx="21">
                  <c:v>248095.23</c:v>
                </c:pt>
                <c:pt idx="22">
                  <c:v>242019.94</c:v>
                </c:pt>
                <c:pt idx="23">
                  <c:v>236037.31</c:v>
                </c:pt>
                <c:pt idx="24">
                  <c:v>234650.29</c:v>
                </c:pt>
                <c:pt idx="25">
                  <c:v>200891.75</c:v>
                </c:pt>
                <c:pt idx="26">
                  <c:v>263664.98</c:v>
                </c:pt>
                <c:pt idx="27">
                  <c:v>225960.88</c:v>
                </c:pt>
                <c:pt idx="28">
                  <c:v>248901.48</c:v>
                </c:pt>
                <c:pt idx="29">
                  <c:v>213366.79</c:v>
                </c:pt>
                <c:pt idx="30">
                  <c:v>233256.77</c:v>
                </c:pt>
                <c:pt idx="31">
                  <c:v>234863.77</c:v>
                </c:pt>
                <c:pt idx="32">
                  <c:v>240869.83</c:v>
                </c:pt>
                <c:pt idx="33">
                  <c:v>247456.61</c:v>
                </c:pt>
                <c:pt idx="34">
                  <c:v>230600.64</c:v>
                </c:pt>
                <c:pt idx="35">
                  <c:v>247207.8</c:v>
                </c:pt>
                <c:pt idx="36">
                  <c:v>277874.74</c:v>
                </c:pt>
                <c:pt idx="37">
                  <c:v>262318.88</c:v>
                </c:pt>
                <c:pt idx="38">
                  <c:v>293722.84000000003</c:v>
                </c:pt>
                <c:pt idx="39">
                  <c:v>206982.63</c:v>
                </c:pt>
                <c:pt idx="40">
                  <c:v>225774.67</c:v>
                </c:pt>
                <c:pt idx="41">
                  <c:v>216983.57</c:v>
                </c:pt>
                <c:pt idx="42">
                  <c:v>310327.15999999997</c:v>
                </c:pt>
                <c:pt idx="43">
                  <c:v>311949.14</c:v>
                </c:pt>
                <c:pt idx="44">
                  <c:v>304304.78999999998</c:v>
                </c:pt>
                <c:pt idx="45">
                  <c:v>359699.69</c:v>
                </c:pt>
                <c:pt idx="46">
                  <c:v>304194.5</c:v>
                </c:pt>
                <c:pt idx="47">
                  <c:v>332129.99</c:v>
                </c:pt>
              </c:numCache>
            </c:numRef>
          </c:val>
          <c:smooth val="0"/>
          <c:extLst>
            <c:ext xmlns:c16="http://schemas.microsoft.com/office/drawing/2014/chart" uri="{C3380CC4-5D6E-409C-BE32-E72D297353CC}">
              <c16:uniqueId val="{00000000-72D2-4229-AEF3-28E4849EE1A1}"/>
            </c:ext>
          </c:extLst>
        </c:ser>
        <c:dLbls>
          <c:showLegendKey val="0"/>
          <c:showVal val="0"/>
          <c:showCatName val="0"/>
          <c:showSerName val="0"/>
          <c:showPercent val="0"/>
          <c:showBubbleSize val="0"/>
        </c:dLbls>
        <c:smooth val="0"/>
        <c:axId val="816200671"/>
        <c:axId val="816197791"/>
      </c:lineChart>
      <c:catAx>
        <c:axId val="81620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816197791"/>
        <c:crosses val="autoZero"/>
        <c:auto val="1"/>
        <c:lblAlgn val="ctr"/>
        <c:lblOffset val="100"/>
        <c:tickLblSkip val="3"/>
        <c:noMultiLvlLbl val="0"/>
      </c:catAx>
      <c:valAx>
        <c:axId val="8161977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81620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[Guerrero_Maryland_Chart.xlsx]Data_Q6B!PivotTable13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b="1"/>
              <a:t>Category Year-Over-Year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700"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2700"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2700"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2700"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layout>
            <c:manualLayout>
              <c:x val="-9.3374538073911301E-2"/>
              <c:y val="-6.018518518518523E-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chemeClr val="accent6">
                        <a:lumMod val="75000"/>
                      </a:schemeClr>
                    </a:solidFill>
                  </a:rPr>
                  <a:t>+$521,972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layout>
            <c:manualLayout>
              <c:x val="-9.0628228130560873E-2"/>
              <c:y val="-0.111111111111111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rgbClr val="C00000"/>
                    </a:solidFill>
                  </a:rPr>
                  <a:t>-$99,322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layout>
            <c:manualLayout>
              <c:x val="-9.3374538073911301E-2"/>
              <c:y val="-6.018518518518523E-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chemeClr val="accent6">
                        <a:lumMod val="75000"/>
                      </a:schemeClr>
                    </a:solidFill>
                  </a:rPr>
                  <a:t>+$521,972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layout>
            <c:manualLayout>
              <c:x val="-9.0628228130560873E-2"/>
              <c:y val="-0.111111111111111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rgbClr val="C00000"/>
                    </a:solidFill>
                  </a:rPr>
                  <a:t>-$99,322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2"/>
        <c:spPr>
          <a:solidFill>
            <a:schemeClr val="accent1"/>
          </a:solidFill>
          <a:ln w="12700"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2700"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2700"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2700"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layout>
            <c:manualLayout>
              <c:x val="-9.3374538073911301E-2"/>
              <c:y val="-6.018518518518523E-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chemeClr val="accent6">
                        <a:lumMod val="75000"/>
                      </a:schemeClr>
                    </a:solidFill>
                  </a:rPr>
                  <a:t>+$521,972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8"/>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layout>
            <c:manualLayout>
              <c:x val="-9.0628228130560873E-2"/>
              <c:y val="-0.111111111111111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rgbClr val="C00000"/>
                    </a:solidFill>
                  </a:rPr>
                  <a:t>-$99,322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0"/>
        <c:spPr>
          <a:solidFill>
            <a:schemeClr val="accent1"/>
          </a:solidFill>
          <a:ln w="12700"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2700"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2700"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2700"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rgbClr val="02809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rgbClr val="028090"/>
            </a:solidFill>
            <a:round/>
          </a:ln>
          <a:effectLst/>
        </c:spPr>
        <c:marker>
          <c:symbol val="circle"/>
          <c:size val="5"/>
          <c:spPr>
            <a:solidFill>
              <a:schemeClr val="accent1"/>
            </a:solidFill>
            <a:ln w="9525">
              <a:solidFill>
                <a:schemeClr val="accent1"/>
              </a:solidFill>
            </a:ln>
            <a:effectLst/>
          </c:spPr>
        </c:marker>
        <c:dLbl>
          <c:idx val="0"/>
          <c:layout>
            <c:manualLayout>
              <c:x val="-9.3374538073911301E-2"/>
              <c:y val="-6.018518518518523E-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chemeClr val="accent6">
                        <a:lumMod val="75000"/>
                      </a:schemeClr>
                    </a:solidFill>
                  </a:rPr>
                  <a:t>+$521,972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6"/>
        <c:spPr>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layout>
            <c:manualLayout>
              <c:x val="-9.0628228130560873E-2"/>
              <c:y val="-0.111111111111111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rgbClr val="C00000"/>
                    </a:solidFill>
                  </a:rPr>
                  <a:t>-$99,322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8"/>
        <c:spPr>
          <a:ln w="12700"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12700"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12700"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12700"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Data_Q6B!$H$2:$H$3</c:f>
              <c:strCache>
                <c:ptCount val="1"/>
                <c:pt idx="0">
                  <c:v>Technology &amp; Accessories</c:v>
                </c:pt>
              </c:strCache>
            </c:strRef>
          </c:tx>
          <c:spPr>
            <a:ln w="28575" cap="rnd">
              <a:solidFill>
                <a:srgbClr val="028090"/>
              </a:solidFill>
              <a:round/>
            </a:ln>
            <a:effectLst/>
          </c:spPr>
          <c:marker>
            <c:symbol val="circle"/>
            <c:size val="5"/>
            <c:spPr>
              <a:solidFill>
                <a:schemeClr val="accent1"/>
              </a:solidFill>
              <a:ln w="9525">
                <a:solidFill>
                  <a:schemeClr val="accent1"/>
                </a:solidFill>
              </a:ln>
              <a:effectLst/>
            </c:spPr>
          </c:marker>
          <c:dPt>
            <c:idx val="3"/>
            <c:marker>
              <c:symbol val="circle"/>
              <c:size val="5"/>
              <c:spPr>
                <a:solidFill>
                  <a:schemeClr val="accent1"/>
                </a:solidFill>
                <a:ln w="9525">
                  <a:solidFill>
                    <a:schemeClr val="accent1"/>
                  </a:solidFill>
                </a:ln>
                <a:effectLst/>
              </c:spPr>
            </c:marker>
            <c:bubble3D val="0"/>
            <c:spPr>
              <a:ln w="28575" cap="rnd">
                <a:solidFill>
                  <a:srgbClr val="028090"/>
                </a:solidFill>
                <a:round/>
              </a:ln>
              <a:effectLst/>
            </c:spPr>
            <c:extLst>
              <c:ext xmlns:c16="http://schemas.microsoft.com/office/drawing/2014/chart" uri="{C3380CC4-5D6E-409C-BE32-E72D297353CC}">
                <c16:uniqueId val="{00000001-B5AD-476E-A62C-389AAE0E42A7}"/>
              </c:ext>
            </c:extLst>
          </c:dPt>
          <c:dLbls>
            <c:dLbl>
              <c:idx val="3"/>
              <c:layout>
                <c:manualLayout>
                  <c:x val="-9.3374538073911301E-2"/>
                  <c:y val="-6.018518518518523E-2"/>
                </c:manualLayout>
              </c:layout>
              <c:tx>
                <c:rich>
                  <a:bodyPr/>
                  <a:lstStyle/>
                  <a:p>
                    <a:r>
                      <a:rPr lang="en-US">
                        <a:solidFill>
                          <a:schemeClr val="accent6">
                            <a:lumMod val="75000"/>
                          </a:schemeClr>
                        </a:solidFill>
                      </a:rPr>
                      <a:t>+$521,972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B5AD-476E-A62C-389AAE0E42A7}"/>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Data_Q6B!$G$4:$G$8</c:f>
              <c:strCache>
                <c:ptCount val="4"/>
                <c:pt idx="0">
                  <c:v>2022</c:v>
                </c:pt>
                <c:pt idx="1">
                  <c:v>2023</c:v>
                </c:pt>
                <c:pt idx="2">
                  <c:v>2024</c:v>
                </c:pt>
                <c:pt idx="3">
                  <c:v>2025</c:v>
                </c:pt>
              </c:strCache>
            </c:strRef>
          </c:cat>
          <c:val>
            <c:numRef>
              <c:f>Data_Q6B!$H$4:$H$8</c:f>
              <c:numCache>
                <c:formatCode>"$"#,##0.00</c:formatCode>
                <c:ptCount val="4"/>
                <c:pt idx="0">
                  <c:v>1511977.6</c:v>
                </c:pt>
                <c:pt idx="1">
                  <c:v>1927244.53</c:v>
                </c:pt>
                <c:pt idx="2">
                  <c:v>1932871.91</c:v>
                </c:pt>
                <c:pt idx="3">
                  <c:v>2454843.7999999998</c:v>
                </c:pt>
              </c:numCache>
            </c:numRef>
          </c:val>
          <c:smooth val="0"/>
          <c:extLst>
            <c:ext xmlns:c16="http://schemas.microsoft.com/office/drawing/2014/chart" uri="{C3380CC4-5D6E-409C-BE32-E72D297353CC}">
              <c16:uniqueId val="{00000002-B5AD-476E-A62C-389AAE0E42A7}"/>
            </c:ext>
          </c:extLst>
        </c:ser>
        <c:ser>
          <c:idx val="1"/>
          <c:order val="1"/>
          <c:tx>
            <c:strRef>
              <c:f>Data_Q6B!$I$2:$I$3</c:f>
              <c:strCache>
                <c:ptCount val="1"/>
                <c:pt idx="0">
                  <c:v>Textbooks</c:v>
                </c:pt>
              </c:strCache>
            </c:strRef>
          </c:tx>
          <c:spPr>
            <a:ln w="28575" cap="rnd">
              <a:solidFill>
                <a:srgbClr val="B85042"/>
              </a:solidFill>
              <a:prstDash val="dash"/>
              <a:round/>
            </a:ln>
            <a:effectLst/>
          </c:spPr>
          <c:marker>
            <c:symbol val="circle"/>
            <c:size val="5"/>
            <c:spPr>
              <a:solidFill>
                <a:schemeClr val="accent2"/>
              </a:solidFill>
              <a:ln w="9525">
                <a:solidFill>
                  <a:schemeClr val="accent2"/>
                </a:solidFill>
              </a:ln>
              <a:effectLst/>
            </c:spPr>
          </c:marker>
          <c:dPt>
            <c:idx val="3"/>
            <c:marker>
              <c:symbol val="circle"/>
              <c:size val="5"/>
              <c:spPr>
                <a:solidFill>
                  <a:schemeClr val="accent2"/>
                </a:solidFill>
                <a:ln w="9525">
                  <a:solidFill>
                    <a:schemeClr val="accent2"/>
                  </a:solidFill>
                </a:ln>
                <a:effectLst/>
              </c:spPr>
            </c:marker>
            <c:bubble3D val="0"/>
            <c:spPr>
              <a:ln w="28575" cap="rnd">
                <a:solidFill>
                  <a:srgbClr val="B85042"/>
                </a:solidFill>
                <a:prstDash val="dash"/>
                <a:round/>
              </a:ln>
              <a:effectLst/>
            </c:spPr>
            <c:extLst>
              <c:ext xmlns:c16="http://schemas.microsoft.com/office/drawing/2014/chart" uri="{C3380CC4-5D6E-409C-BE32-E72D297353CC}">
                <c16:uniqueId val="{00000003-36B0-411D-9125-27E1489B19BC}"/>
              </c:ext>
            </c:extLst>
          </c:dPt>
          <c:dLbls>
            <c:dLbl>
              <c:idx val="3"/>
              <c:layout>
                <c:manualLayout>
                  <c:x val="-9.0628228130560873E-2"/>
                  <c:y val="-0.1111111111111112"/>
                </c:manualLayout>
              </c:layout>
              <c:tx>
                <c:rich>
                  <a:bodyPr/>
                  <a:lstStyle/>
                  <a:p>
                    <a:r>
                      <a:rPr lang="en-US">
                        <a:solidFill>
                          <a:srgbClr val="C00000"/>
                        </a:solidFill>
                      </a:rPr>
                      <a:t>-$99,322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36B0-411D-9125-27E1489B19BC}"/>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Data_Q6B!$G$4:$G$8</c:f>
              <c:strCache>
                <c:ptCount val="4"/>
                <c:pt idx="0">
                  <c:v>2022</c:v>
                </c:pt>
                <c:pt idx="1">
                  <c:v>2023</c:v>
                </c:pt>
                <c:pt idx="2">
                  <c:v>2024</c:v>
                </c:pt>
                <c:pt idx="3">
                  <c:v>2025</c:v>
                </c:pt>
              </c:strCache>
            </c:strRef>
          </c:cat>
          <c:val>
            <c:numRef>
              <c:f>Data_Q6B!$I$4:$I$8</c:f>
              <c:numCache>
                <c:formatCode>"$"#,##0.00</c:formatCode>
                <c:ptCount val="4"/>
                <c:pt idx="0">
                  <c:v>587975.24</c:v>
                </c:pt>
                <c:pt idx="1">
                  <c:v>509847.59</c:v>
                </c:pt>
                <c:pt idx="2">
                  <c:v>511338.87</c:v>
                </c:pt>
                <c:pt idx="3">
                  <c:v>412016.17</c:v>
                </c:pt>
              </c:numCache>
            </c:numRef>
          </c:val>
          <c:smooth val="0"/>
          <c:extLst>
            <c:ext xmlns:c16="http://schemas.microsoft.com/office/drawing/2014/chart" uri="{C3380CC4-5D6E-409C-BE32-E72D297353CC}">
              <c16:uniqueId val="{0000001F-B5AD-476E-A62C-389AAE0E42A7}"/>
            </c:ext>
          </c:extLst>
        </c:ser>
        <c:ser>
          <c:idx val="2"/>
          <c:order val="2"/>
          <c:tx>
            <c:strRef>
              <c:f>Data_Q6B!$J$2:$J$3</c:f>
              <c:strCache>
                <c:ptCount val="1"/>
                <c:pt idx="0">
                  <c:v>Apparel and Merchandise</c:v>
                </c:pt>
              </c:strCache>
            </c:strRef>
          </c:tx>
          <c:spPr>
            <a:ln w="12700" cap="rnd">
              <a:solidFill>
                <a:schemeClr val="accent3"/>
              </a:solidFill>
              <a:round/>
            </a:ln>
            <a:effectLst/>
          </c:spPr>
          <c:marker>
            <c:symbol val="circle"/>
            <c:size val="5"/>
            <c:spPr>
              <a:solidFill>
                <a:schemeClr val="accent3"/>
              </a:solidFill>
              <a:ln w="9525">
                <a:solidFill>
                  <a:schemeClr val="accent3"/>
                </a:solidFill>
              </a:ln>
              <a:effectLst/>
            </c:spPr>
          </c:marker>
          <c:cat>
            <c:strRef>
              <c:f>Data_Q6B!$G$4:$G$8</c:f>
              <c:strCache>
                <c:ptCount val="4"/>
                <c:pt idx="0">
                  <c:v>2022</c:v>
                </c:pt>
                <c:pt idx="1">
                  <c:v>2023</c:v>
                </c:pt>
                <c:pt idx="2">
                  <c:v>2024</c:v>
                </c:pt>
                <c:pt idx="3">
                  <c:v>2025</c:v>
                </c:pt>
              </c:strCache>
            </c:strRef>
          </c:cat>
          <c:val>
            <c:numRef>
              <c:f>Data_Q6B!$J$4:$J$8</c:f>
              <c:numCache>
                <c:formatCode>"$"#,##0.00</c:formatCode>
                <c:ptCount val="4"/>
                <c:pt idx="0">
                  <c:v>91261.84</c:v>
                </c:pt>
                <c:pt idx="1">
                  <c:v>120010.22</c:v>
                </c:pt>
                <c:pt idx="2">
                  <c:v>120129.54</c:v>
                </c:pt>
                <c:pt idx="3">
                  <c:v>169185.87</c:v>
                </c:pt>
              </c:numCache>
            </c:numRef>
          </c:val>
          <c:smooth val="0"/>
          <c:extLst>
            <c:ext xmlns:c16="http://schemas.microsoft.com/office/drawing/2014/chart" uri="{C3380CC4-5D6E-409C-BE32-E72D297353CC}">
              <c16:uniqueId val="{00000020-B5AD-476E-A62C-389AAE0E42A7}"/>
            </c:ext>
          </c:extLst>
        </c:ser>
        <c:ser>
          <c:idx val="3"/>
          <c:order val="3"/>
          <c:tx>
            <c:strRef>
              <c:f>Data_Q6B!$K$2:$K$3</c:f>
              <c:strCache>
                <c:ptCount val="1"/>
                <c:pt idx="0">
                  <c:v>Books (General)</c:v>
                </c:pt>
              </c:strCache>
            </c:strRef>
          </c:tx>
          <c:spPr>
            <a:ln w="12700" cap="rnd">
              <a:solidFill>
                <a:schemeClr val="accent4"/>
              </a:solidFill>
              <a:round/>
            </a:ln>
            <a:effectLst/>
          </c:spPr>
          <c:marker>
            <c:symbol val="circle"/>
            <c:size val="5"/>
            <c:spPr>
              <a:solidFill>
                <a:schemeClr val="accent4"/>
              </a:solidFill>
              <a:ln w="9525">
                <a:solidFill>
                  <a:schemeClr val="accent4"/>
                </a:solidFill>
              </a:ln>
              <a:effectLst/>
            </c:spPr>
          </c:marker>
          <c:cat>
            <c:strRef>
              <c:f>Data_Q6B!$G$4:$G$8</c:f>
              <c:strCache>
                <c:ptCount val="4"/>
                <c:pt idx="0">
                  <c:v>2022</c:v>
                </c:pt>
                <c:pt idx="1">
                  <c:v>2023</c:v>
                </c:pt>
                <c:pt idx="2">
                  <c:v>2024</c:v>
                </c:pt>
                <c:pt idx="3">
                  <c:v>2025</c:v>
                </c:pt>
              </c:strCache>
            </c:strRef>
          </c:cat>
          <c:val>
            <c:numRef>
              <c:f>Data_Q6B!$K$4:$K$8</c:f>
              <c:numCache>
                <c:formatCode>"$"#,##0.00</c:formatCode>
                <c:ptCount val="4"/>
                <c:pt idx="0">
                  <c:v>102417.62</c:v>
                </c:pt>
                <c:pt idx="1">
                  <c:v>116112.7</c:v>
                </c:pt>
                <c:pt idx="2">
                  <c:v>116405.21</c:v>
                </c:pt>
                <c:pt idx="3">
                  <c:v>159910.23000000001</c:v>
                </c:pt>
              </c:numCache>
            </c:numRef>
          </c:val>
          <c:smooth val="0"/>
          <c:extLst>
            <c:ext xmlns:c16="http://schemas.microsoft.com/office/drawing/2014/chart" uri="{C3380CC4-5D6E-409C-BE32-E72D297353CC}">
              <c16:uniqueId val="{00000021-B5AD-476E-A62C-389AAE0E42A7}"/>
            </c:ext>
          </c:extLst>
        </c:ser>
        <c:ser>
          <c:idx val="4"/>
          <c:order val="4"/>
          <c:tx>
            <c:strRef>
              <c:f>Data_Q6B!$L$2:$L$3</c:f>
              <c:strCache>
                <c:ptCount val="1"/>
                <c:pt idx="0">
                  <c:v>Art Supplies</c:v>
                </c:pt>
              </c:strCache>
            </c:strRef>
          </c:tx>
          <c:spPr>
            <a:ln w="12700" cap="rnd">
              <a:solidFill>
                <a:schemeClr val="accent5"/>
              </a:solidFill>
              <a:round/>
            </a:ln>
            <a:effectLst/>
          </c:spPr>
          <c:marker>
            <c:symbol val="circle"/>
            <c:size val="5"/>
            <c:spPr>
              <a:solidFill>
                <a:schemeClr val="accent5"/>
              </a:solidFill>
              <a:ln w="9525">
                <a:solidFill>
                  <a:schemeClr val="accent5"/>
                </a:solidFill>
              </a:ln>
              <a:effectLst/>
            </c:spPr>
          </c:marker>
          <c:cat>
            <c:strRef>
              <c:f>Data_Q6B!$G$4:$G$8</c:f>
              <c:strCache>
                <c:ptCount val="4"/>
                <c:pt idx="0">
                  <c:v>2022</c:v>
                </c:pt>
                <c:pt idx="1">
                  <c:v>2023</c:v>
                </c:pt>
                <c:pt idx="2">
                  <c:v>2024</c:v>
                </c:pt>
                <c:pt idx="3">
                  <c:v>2025</c:v>
                </c:pt>
              </c:strCache>
            </c:strRef>
          </c:cat>
          <c:val>
            <c:numRef>
              <c:f>Data_Q6B!$L$4:$L$8</c:f>
              <c:numCache>
                <c:formatCode>"$"#,##0.00</c:formatCode>
                <c:ptCount val="4"/>
                <c:pt idx="0">
                  <c:v>84065.95</c:v>
                </c:pt>
                <c:pt idx="1">
                  <c:v>100179.64</c:v>
                </c:pt>
                <c:pt idx="2">
                  <c:v>100529.07</c:v>
                </c:pt>
                <c:pt idx="3">
                  <c:v>149222.01</c:v>
                </c:pt>
              </c:numCache>
            </c:numRef>
          </c:val>
          <c:smooth val="0"/>
          <c:extLst>
            <c:ext xmlns:c16="http://schemas.microsoft.com/office/drawing/2014/chart" uri="{C3380CC4-5D6E-409C-BE32-E72D297353CC}">
              <c16:uniqueId val="{00000022-B5AD-476E-A62C-389AAE0E42A7}"/>
            </c:ext>
          </c:extLst>
        </c:ser>
        <c:ser>
          <c:idx val="5"/>
          <c:order val="5"/>
          <c:tx>
            <c:strRef>
              <c:f>Data_Q6B!$M$2:$M$3</c:f>
              <c:strCache>
                <c:ptCount val="1"/>
                <c:pt idx="0">
                  <c:v>Stationery and Supplies</c:v>
                </c:pt>
              </c:strCache>
            </c:strRef>
          </c:tx>
          <c:spPr>
            <a:ln w="12700" cap="rnd">
              <a:solidFill>
                <a:schemeClr val="accent6"/>
              </a:solidFill>
              <a:round/>
            </a:ln>
            <a:effectLst/>
          </c:spPr>
          <c:marker>
            <c:symbol val="circle"/>
            <c:size val="5"/>
            <c:spPr>
              <a:solidFill>
                <a:schemeClr val="accent6"/>
              </a:solidFill>
              <a:ln w="9525">
                <a:solidFill>
                  <a:schemeClr val="accent6"/>
                </a:solidFill>
              </a:ln>
              <a:effectLst/>
            </c:spPr>
          </c:marker>
          <c:cat>
            <c:strRef>
              <c:f>Data_Q6B!$G$4:$G$8</c:f>
              <c:strCache>
                <c:ptCount val="4"/>
                <c:pt idx="0">
                  <c:v>2022</c:v>
                </c:pt>
                <c:pt idx="1">
                  <c:v>2023</c:v>
                </c:pt>
                <c:pt idx="2">
                  <c:v>2024</c:v>
                </c:pt>
                <c:pt idx="3">
                  <c:v>2025</c:v>
                </c:pt>
              </c:strCache>
            </c:strRef>
          </c:cat>
          <c:val>
            <c:numRef>
              <c:f>Data_Q6B!$M$4:$M$8</c:f>
              <c:numCache>
                <c:formatCode>"$"#,##0.00</c:formatCode>
                <c:ptCount val="4"/>
                <c:pt idx="0">
                  <c:v>32269.45</c:v>
                </c:pt>
                <c:pt idx="1">
                  <c:v>40298.519999999997</c:v>
                </c:pt>
                <c:pt idx="2">
                  <c:v>40416.99</c:v>
                </c:pt>
                <c:pt idx="3">
                  <c:v>61084.52</c:v>
                </c:pt>
              </c:numCache>
            </c:numRef>
          </c:val>
          <c:smooth val="0"/>
          <c:extLst>
            <c:ext xmlns:c16="http://schemas.microsoft.com/office/drawing/2014/chart" uri="{C3380CC4-5D6E-409C-BE32-E72D297353CC}">
              <c16:uniqueId val="{00000023-B5AD-476E-A62C-389AAE0E42A7}"/>
            </c:ext>
          </c:extLst>
        </c:ser>
        <c:dLbls>
          <c:showLegendKey val="0"/>
          <c:showVal val="0"/>
          <c:showCatName val="0"/>
          <c:showSerName val="0"/>
          <c:showPercent val="0"/>
          <c:showBubbleSize val="0"/>
        </c:dLbls>
        <c:marker val="1"/>
        <c:smooth val="0"/>
        <c:axId val="1333471759"/>
        <c:axId val="1333466479"/>
      </c:lineChart>
      <c:catAx>
        <c:axId val="133347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33466479"/>
        <c:crosses val="autoZero"/>
        <c:auto val="1"/>
        <c:lblAlgn val="ctr"/>
        <c:lblOffset val="100"/>
        <c:noMultiLvlLbl val="0"/>
      </c:catAx>
      <c:valAx>
        <c:axId val="13334664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3347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[Guerrero_Maryland_Chart.xlsx]Data_Q6A!PivotTable12</c:name>
    <c:fmtId val="3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Products by Total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a:outerShdw blurRad="57150" dist="19050" dir="5400000" algn="ctr" rotWithShape="0">
              <a:srgbClr val="000000">
                <a:alpha val="63000"/>
              </a:srgbClr>
            </a:outerShdw>
          </a:effectLst>
        </c:spPr>
      </c:pivotFmt>
      <c:pivotFmt>
        <c:idx val="5"/>
        <c:spPr>
          <a:solidFill>
            <a:schemeClr val="accent5">
              <a:lumMod val="75000"/>
            </a:schemeClr>
          </a:solidFill>
          <a:ln>
            <a:noFill/>
          </a:ln>
          <a:effectLst>
            <a:outerShdw blurRad="57150" dist="19050" dir="5400000" algn="ctr" rotWithShape="0">
              <a:srgbClr val="000000">
                <a:alpha val="63000"/>
              </a:srgbClr>
            </a:outerShdw>
          </a:effectLst>
        </c:spPr>
      </c:pivotFmt>
      <c:pivotFmt>
        <c:idx val="6"/>
        <c:spPr>
          <a:solidFill>
            <a:schemeClr val="accent5">
              <a:lumMod val="75000"/>
            </a:schemeClr>
          </a:solidFill>
          <a:ln>
            <a:noFill/>
          </a:ln>
          <a:effectLst>
            <a:outerShdw blurRad="57150" dist="19050" dir="5400000" algn="ctr" rotWithShape="0">
              <a:srgbClr val="000000">
                <a:alpha val="63000"/>
              </a:srgbClr>
            </a:outerShdw>
          </a:effectLst>
        </c:spPr>
      </c:pivotFmt>
      <c:pivotFmt>
        <c:idx val="7"/>
        <c:spPr>
          <a:solidFill>
            <a:schemeClr val="accent5">
              <a:lumMod val="75000"/>
            </a:schemeClr>
          </a:solidFill>
          <a:ln>
            <a:noFill/>
          </a:ln>
          <a:effectLst>
            <a:outerShdw blurRad="57150" dist="19050" dir="5400000" algn="ctr" rotWithShape="0">
              <a:srgbClr val="000000">
                <a:alpha val="63000"/>
              </a:srgbClr>
            </a:outerShdw>
          </a:effectLst>
        </c:spPr>
      </c:pivotFmt>
      <c:pivotFmt>
        <c:idx val="8"/>
        <c:spPr>
          <a:solidFill>
            <a:schemeClr val="accent5">
              <a:lumMod val="75000"/>
            </a:schemeClr>
          </a:solidFill>
          <a:ln>
            <a:noFill/>
          </a:ln>
          <a:effectLst>
            <a:outerShdw blurRad="57150" dist="19050" dir="5400000" algn="ctr" rotWithShape="0">
              <a:srgbClr val="000000">
                <a:alpha val="63000"/>
              </a:srgbClr>
            </a:outerShdw>
          </a:effectLst>
        </c:spPr>
      </c:pivotFmt>
      <c:pivotFmt>
        <c:idx val="9"/>
        <c:spPr>
          <a:solidFill>
            <a:schemeClr val="accent5">
              <a:lumMod val="75000"/>
            </a:schemeClr>
          </a:solidFill>
          <a:ln>
            <a:noFill/>
          </a:ln>
          <a:effectLst>
            <a:outerShdw blurRad="57150" dist="19050" dir="5400000" algn="ctr" rotWithShape="0">
              <a:srgbClr val="000000">
                <a:alpha val="63000"/>
              </a:srgbClr>
            </a:outerShdw>
          </a:effectLst>
        </c:spPr>
      </c:pivotFmt>
      <c:pivotFmt>
        <c:idx val="10"/>
        <c:spPr>
          <a:solidFill>
            <a:schemeClr val="accent5">
              <a:lumMod val="75000"/>
            </a:schemeClr>
          </a:solidFill>
          <a:ln>
            <a:noFill/>
          </a:ln>
          <a:effectLst>
            <a:outerShdw blurRad="57150" dist="19050" dir="5400000" algn="ctr" rotWithShape="0">
              <a:srgbClr val="000000">
                <a:alpha val="63000"/>
              </a:srgbClr>
            </a:outerShdw>
          </a:effectLst>
        </c:spPr>
      </c:pivotFmt>
      <c:pivotFmt>
        <c:idx val="11"/>
        <c:spPr>
          <a:solidFill>
            <a:schemeClr val="accent5">
              <a:lumMod val="75000"/>
            </a:schemeClr>
          </a:solidFill>
          <a:ln>
            <a:noFill/>
          </a:ln>
          <a:effectLst>
            <a:outerShdw blurRad="57150" dist="19050" dir="5400000" algn="ctr" rotWithShape="0">
              <a:srgbClr val="000000">
                <a:alpha val="63000"/>
              </a:srgbClr>
            </a:outerShdw>
          </a:effectLst>
        </c:spPr>
      </c:pivotFmt>
      <c:pivotFmt>
        <c:idx val="12"/>
        <c:spPr>
          <a:solidFill>
            <a:schemeClr val="accent5">
              <a:lumMod val="75000"/>
            </a:schemeClr>
          </a:solidFill>
          <a:ln>
            <a:noFill/>
          </a:ln>
          <a:effectLst>
            <a:outerShdw blurRad="57150" dist="19050" dir="5400000" algn="ctr" rotWithShape="0">
              <a:srgbClr val="000000">
                <a:alpha val="63000"/>
              </a:srgbClr>
            </a:outerShdw>
          </a:effectLst>
        </c:spPr>
      </c:pivotFmt>
      <c:pivotFmt>
        <c:idx val="13"/>
        <c:spPr>
          <a:solidFill>
            <a:schemeClr val="accent5">
              <a:lumMod val="75000"/>
            </a:schemeClr>
          </a:solidFill>
          <a:ln>
            <a:noFill/>
          </a:ln>
          <a:effectLst>
            <a:outerShdw blurRad="57150" dist="19050" dir="5400000" algn="ctr" rotWithShape="0">
              <a:srgbClr val="000000">
                <a:alpha val="63000"/>
              </a:srgbClr>
            </a:outerShdw>
          </a:effectLst>
        </c:spPr>
      </c:pivotFmt>
      <c:pivotFmt>
        <c:idx val="14"/>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280663495346"/>
          <c:y val="0.21664302244386577"/>
          <c:w val="0.75658408548716927"/>
          <c:h val="0.51421380507910297"/>
        </c:manualLayout>
      </c:layout>
      <c:barChart>
        <c:barDir val="col"/>
        <c:grouping val="clustered"/>
        <c:varyColors val="0"/>
        <c:ser>
          <c:idx val="0"/>
          <c:order val="0"/>
          <c:tx>
            <c:strRef>
              <c:f>Data_Q6A!$B$13</c:f>
              <c:strCache>
                <c:ptCount val="1"/>
                <c:pt idx="0">
                  <c:v>Revenue</c:v>
                </c:pt>
              </c:strCache>
            </c:strRef>
          </c:tx>
          <c:spPr>
            <a:solidFill>
              <a:schemeClr val="accent5">
                <a:lumMod val="75000"/>
              </a:schemeClr>
            </a:solidFill>
            <a:ln>
              <a:noFill/>
            </a:ln>
            <a:effectLst>
              <a:outerShdw blurRad="57150" dist="19050" dir="5400000" algn="ctr" rotWithShape="0">
                <a:srgbClr val="000000">
                  <a:alpha val="63000"/>
                </a:srgbClr>
              </a:outerShdw>
            </a:effectLst>
          </c:spPr>
          <c:invertIfNegative val="0"/>
          <c:cat>
            <c:strRef>
              <c:f>Data_Q6A!$A$14:$A$24</c:f>
              <c:strCache>
                <c:ptCount val="10"/>
                <c:pt idx="0">
                  <c:v>MSI Creator Z16</c:v>
                </c:pt>
                <c:pt idx="1">
                  <c:v>Macbook Air M2</c:v>
                </c:pt>
                <c:pt idx="2">
                  <c:v>Macbook Pro M2</c:v>
                </c:pt>
                <c:pt idx="3">
                  <c:v>IdeaPad Flex 5</c:v>
                </c:pt>
                <c:pt idx="4">
                  <c:v>LG Gram 17</c:v>
                </c:pt>
                <c:pt idx="5">
                  <c:v>Galaxy Book Pro</c:v>
                </c:pt>
                <c:pt idx="6">
                  <c:v>ThinkPad X1</c:v>
                </c:pt>
                <c:pt idx="7">
                  <c:v>VivoBook S15</c:v>
                </c:pt>
                <c:pt idx="8">
                  <c:v>HP Spectre x360</c:v>
                </c:pt>
                <c:pt idx="9">
                  <c:v>Dell Inspiron 15</c:v>
                </c:pt>
              </c:strCache>
            </c:strRef>
          </c:cat>
          <c:val>
            <c:numRef>
              <c:f>Data_Q6A!$B$14:$B$24</c:f>
              <c:numCache>
                <c:formatCode>"$"#,##0</c:formatCode>
                <c:ptCount val="10"/>
                <c:pt idx="0">
                  <c:v>306883.8</c:v>
                </c:pt>
                <c:pt idx="1">
                  <c:v>261090.4</c:v>
                </c:pt>
                <c:pt idx="2">
                  <c:v>257655</c:v>
                </c:pt>
                <c:pt idx="3">
                  <c:v>251094.2</c:v>
                </c:pt>
                <c:pt idx="4">
                  <c:v>228489.04</c:v>
                </c:pt>
                <c:pt idx="5">
                  <c:v>219375.68</c:v>
                </c:pt>
                <c:pt idx="6">
                  <c:v>218738.88</c:v>
                </c:pt>
                <c:pt idx="7">
                  <c:v>217056</c:v>
                </c:pt>
                <c:pt idx="8">
                  <c:v>212663.2</c:v>
                </c:pt>
                <c:pt idx="9">
                  <c:v>205561.2</c:v>
                </c:pt>
              </c:numCache>
            </c:numRef>
          </c:val>
          <c:extLst>
            <c:ext xmlns:c16="http://schemas.microsoft.com/office/drawing/2014/chart" uri="{C3380CC4-5D6E-409C-BE32-E72D297353CC}">
              <c16:uniqueId val="{00000000-4227-4D72-AF34-72EA9BEA7AD6}"/>
            </c:ext>
          </c:extLst>
        </c:ser>
        <c:dLbls>
          <c:showLegendKey val="0"/>
          <c:showVal val="0"/>
          <c:showCatName val="0"/>
          <c:showSerName val="0"/>
          <c:showPercent val="0"/>
          <c:showBubbleSize val="0"/>
        </c:dLbls>
        <c:gapWidth val="219"/>
        <c:overlap val="-27"/>
        <c:axId val="1882257391"/>
        <c:axId val="1882268911"/>
      </c:barChart>
      <c:lineChart>
        <c:grouping val="standard"/>
        <c:varyColors val="0"/>
        <c:ser>
          <c:idx val="1"/>
          <c:order val="1"/>
          <c:tx>
            <c:strRef>
              <c:f>Data_Q6A!$C$13</c:f>
              <c:strCache>
                <c:ptCount val="1"/>
                <c:pt idx="0">
                  <c:v>Transactions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Data_Q6A!$A$14:$A$24</c:f>
              <c:strCache>
                <c:ptCount val="10"/>
                <c:pt idx="0">
                  <c:v>MSI Creator Z16</c:v>
                </c:pt>
                <c:pt idx="1">
                  <c:v>Macbook Air M2</c:v>
                </c:pt>
                <c:pt idx="2">
                  <c:v>Macbook Pro M2</c:v>
                </c:pt>
                <c:pt idx="3">
                  <c:v>IdeaPad Flex 5</c:v>
                </c:pt>
                <c:pt idx="4">
                  <c:v>LG Gram 17</c:v>
                </c:pt>
                <c:pt idx="5">
                  <c:v>Galaxy Book Pro</c:v>
                </c:pt>
                <c:pt idx="6">
                  <c:v>ThinkPad X1</c:v>
                </c:pt>
                <c:pt idx="7">
                  <c:v>VivoBook S15</c:v>
                </c:pt>
                <c:pt idx="8">
                  <c:v>HP Spectre x360</c:v>
                </c:pt>
                <c:pt idx="9">
                  <c:v>Dell Inspiron 15</c:v>
                </c:pt>
              </c:strCache>
            </c:strRef>
          </c:cat>
          <c:val>
            <c:numRef>
              <c:f>Data_Q6A!$C$14:$C$24</c:f>
              <c:numCache>
                <c:formatCode>General</c:formatCode>
                <c:ptCount val="10"/>
                <c:pt idx="0">
                  <c:v>174</c:v>
                </c:pt>
                <c:pt idx="1">
                  <c:v>152</c:v>
                </c:pt>
                <c:pt idx="2">
                  <c:v>150</c:v>
                </c:pt>
                <c:pt idx="3">
                  <c:v>194</c:v>
                </c:pt>
                <c:pt idx="4">
                  <c:v>166</c:v>
                </c:pt>
                <c:pt idx="5">
                  <c:v>172</c:v>
                </c:pt>
                <c:pt idx="6">
                  <c:v>174</c:v>
                </c:pt>
                <c:pt idx="7">
                  <c:v>168</c:v>
                </c:pt>
                <c:pt idx="8">
                  <c:v>170</c:v>
                </c:pt>
                <c:pt idx="9">
                  <c:v>156</c:v>
                </c:pt>
              </c:numCache>
            </c:numRef>
          </c:val>
          <c:smooth val="0"/>
          <c:extLst>
            <c:ext xmlns:c16="http://schemas.microsoft.com/office/drawing/2014/chart" uri="{C3380CC4-5D6E-409C-BE32-E72D297353CC}">
              <c16:uniqueId val="{00000001-4227-4D72-AF34-72EA9BEA7AD6}"/>
            </c:ext>
          </c:extLst>
        </c:ser>
        <c:dLbls>
          <c:showLegendKey val="0"/>
          <c:showVal val="0"/>
          <c:showCatName val="0"/>
          <c:showSerName val="0"/>
          <c:showPercent val="0"/>
          <c:showBubbleSize val="0"/>
        </c:dLbls>
        <c:marker val="1"/>
        <c:smooth val="0"/>
        <c:axId val="1103596367"/>
        <c:axId val="1103582927"/>
      </c:lineChart>
      <c:catAx>
        <c:axId val="1882257391"/>
        <c:scaling>
          <c:orientation val="minMax"/>
        </c:scaling>
        <c:delete val="0"/>
        <c:axPos val="b"/>
        <c:numFmt formatCode="&quot;$&quot;#,##0"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268911"/>
        <c:crosses val="autoZero"/>
        <c:auto val="1"/>
        <c:lblAlgn val="ctr"/>
        <c:lblOffset val="100"/>
        <c:noMultiLvlLbl val="0"/>
      </c:catAx>
      <c:valAx>
        <c:axId val="18822689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257391"/>
        <c:crosses val="autoZero"/>
        <c:crossBetween val="between"/>
      </c:valAx>
      <c:valAx>
        <c:axId val="110358292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596367"/>
        <c:crosses val="max"/>
        <c:crossBetween val="between"/>
      </c:valAx>
      <c:catAx>
        <c:axId val="1103596367"/>
        <c:scaling>
          <c:orientation val="minMax"/>
        </c:scaling>
        <c:delete val="1"/>
        <c:axPos val="b"/>
        <c:numFmt formatCode="General" sourceLinked="1"/>
        <c:majorTickMark val="none"/>
        <c:minorTickMark val="none"/>
        <c:tickLblPos val="nextTo"/>
        <c:crossAx val="1103582927"/>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[Guerrero_Maryland_Chart.xlsx]Data_Q5!PivotTable15</c:name>
    <c:fmtId val="5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Store Performance</a:t>
            </a:r>
            <a:r>
              <a:rPr lang="en-US" baseline="0"/>
              <a:t> Ranking</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298957207049331"/>
              <c:y val="1.7908968104121875E-2"/>
            </c:manualLayout>
          </c:layout>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041924697491615"/>
          <c:y val="0.23352084262199158"/>
          <c:w val="0.63916129927398813"/>
          <c:h val="0.73346164040215744"/>
        </c:manualLayout>
      </c:layout>
      <c:pieChart>
        <c:varyColors val="1"/>
        <c:ser>
          <c:idx val="0"/>
          <c:order val="0"/>
          <c:tx>
            <c:strRef>
              <c:f>Data_Q5!$B$12</c:f>
              <c:strCache>
                <c:ptCount val="1"/>
                <c:pt idx="0">
                  <c:v>Sum of Total_Revenue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318-413D-B77B-2FC77CDBEB5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318-413D-B77B-2FC77CDBEB5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318-413D-B77B-2FC77CDBEB5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318-413D-B77B-2FC77CDBEB5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318-413D-B77B-2FC77CDBEB5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318-413D-B77B-2FC77CDBEB53}"/>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318-413D-B77B-2FC77CDBEB53}"/>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318-413D-B77B-2FC77CDBEB53}"/>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318-413D-B77B-2FC77CDBEB53}"/>
              </c:ext>
            </c:extLst>
          </c:dPt>
          <c:dLbls>
            <c:dLbl>
              <c:idx val="8"/>
              <c:layout>
                <c:manualLayout>
                  <c:x val="0.17298957207049331"/>
                  <c:y val="1.7908968104121875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1-C318-413D-B77B-2FC77CDBEB53}"/>
                </c:ext>
              </c:extLst>
            </c:dLbl>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Data_Q5!$A$13:$A$22</c:f>
              <c:strCache>
                <c:ptCount val="9"/>
                <c:pt idx="0">
                  <c:v>North Harford</c:v>
                </c:pt>
                <c:pt idx="1">
                  <c:v>Germantown</c:v>
                </c:pt>
                <c:pt idx="2">
                  <c:v>Parkville</c:v>
                </c:pt>
                <c:pt idx="3">
                  <c:v>Howard</c:v>
                </c:pt>
                <c:pt idx="4">
                  <c:v>Ridgely</c:v>
                </c:pt>
                <c:pt idx="5">
                  <c:v>Baltimore</c:v>
                </c:pt>
                <c:pt idx="6">
                  <c:v>Back River</c:v>
                </c:pt>
                <c:pt idx="7">
                  <c:v>Queen Anne's County</c:v>
                </c:pt>
                <c:pt idx="8">
                  <c:v>Annapolis</c:v>
                </c:pt>
              </c:strCache>
            </c:strRef>
          </c:cat>
          <c:val>
            <c:numRef>
              <c:f>Data_Q5!$B$13:$B$22</c:f>
              <c:numCache>
                <c:formatCode>"$"#,##0.00</c:formatCode>
                <c:ptCount val="9"/>
                <c:pt idx="0">
                  <c:v>8708119</c:v>
                </c:pt>
                <c:pt idx="1">
                  <c:v>584675.92000000004</c:v>
                </c:pt>
                <c:pt idx="2">
                  <c:v>320441.24</c:v>
                </c:pt>
                <c:pt idx="3">
                  <c:v>319394.58</c:v>
                </c:pt>
                <c:pt idx="4">
                  <c:v>318511.03999999998</c:v>
                </c:pt>
                <c:pt idx="5">
                  <c:v>310099.90000000002</c:v>
                </c:pt>
                <c:pt idx="6">
                  <c:v>303433.61</c:v>
                </c:pt>
                <c:pt idx="7">
                  <c:v>298074.49</c:v>
                </c:pt>
                <c:pt idx="8">
                  <c:v>288865.31</c:v>
                </c:pt>
              </c:numCache>
            </c:numRef>
          </c:val>
          <c:extLst>
            <c:ext xmlns:c16="http://schemas.microsoft.com/office/drawing/2014/chart" uri="{C3380CC4-5D6E-409C-BE32-E72D297353CC}">
              <c16:uniqueId val="{00000012-C318-413D-B77B-2FC77CDBEB53}"/>
            </c:ext>
          </c:extLst>
        </c:ser>
        <c:ser>
          <c:idx val="1"/>
          <c:order val="1"/>
          <c:tx>
            <c:strRef>
              <c:f>Data_Q5!$C$12</c:f>
              <c:strCache>
                <c:ptCount val="1"/>
                <c:pt idx="0">
                  <c:v>Sum of Transaction_Count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C318-413D-B77B-2FC77CDBEB5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C318-413D-B77B-2FC77CDBEB5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C318-413D-B77B-2FC77CDBEB5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C318-413D-B77B-2FC77CDBEB5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C318-413D-B77B-2FC77CDBEB5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C318-413D-B77B-2FC77CDBEB53}"/>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0-C318-413D-B77B-2FC77CDBEB53}"/>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2-C318-413D-B77B-2FC77CDBEB53}"/>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4-C318-413D-B77B-2FC77CDBEB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Data_Q5!$A$13:$A$22</c:f>
              <c:strCache>
                <c:ptCount val="9"/>
                <c:pt idx="0">
                  <c:v>North Harford</c:v>
                </c:pt>
                <c:pt idx="1">
                  <c:v>Germantown</c:v>
                </c:pt>
                <c:pt idx="2">
                  <c:v>Parkville</c:v>
                </c:pt>
                <c:pt idx="3">
                  <c:v>Howard</c:v>
                </c:pt>
                <c:pt idx="4">
                  <c:v>Ridgely</c:v>
                </c:pt>
                <c:pt idx="5">
                  <c:v>Baltimore</c:v>
                </c:pt>
                <c:pt idx="6">
                  <c:v>Back River</c:v>
                </c:pt>
                <c:pt idx="7">
                  <c:v>Queen Anne's County</c:v>
                </c:pt>
                <c:pt idx="8">
                  <c:v>Annapolis</c:v>
                </c:pt>
              </c:strCache>
            </c:strRef>
          </c:cat>
          <c:val>
            <c:numRef>
              <c:f>Data_Q5!$C$13:$C$22</c:f>
              <c:numCache>
                <c:formatCode>General</c:formatCode>
                <c:ptCount val="9"/>
                <c:pt idx="0">
                  <c:v>69530</c:v>
                </c:pt>
                <c:pt idx="1">
                  <c:v>4363</c:v>
                </c:pt>
                <c:pt idx="2">
                  <c:v>2192</c:v>
                </c:pt>
                <c:pt idx="3">
                  <c:v>2181</c:v>
                </c:pt>
                <c:pt idx="4">
                  <c:v>2341</c:v>
                </c:pt>
                <c:pt idx="5">
                  <c:v>2222</c:v>
                </c:pt>
                <c:pt idx="6">
                  <c:v>2228</c:v>
                </c:pt>
                <c:pt idx="7">
                  <c:v>2202</c:v>
                </c:pt>
                <c:pt idx="8">
                  <c:v>2207</c:v>
                </c:pt>
              </c:numCache>
            </c:numRef>
          </c:val>
          <c:extLst>
            <c:ext xmlns:c16="http://schemas.microsoft.com/office/drawing/2014/chart" uri="{C3380CC4-5D6E-409C-BE32-E72D297353CC}">
              <c16:uniqueId val="{00000025-C318-413D-B77B-2FC77CDBEB53}"/>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[Guerrero_Maryland_Chart.xlsx]Data_Q4!PivotTable6</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a:t>Category Revenue Breakdown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rgbClr val="028090"/>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2809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2809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2809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Data_Q4!$H$12</c:f>
              <c:strCache>
                <c:ptCount val="1"/>
                <c:pt idx="0">
                  <c:v>Total</c:v>
                </c:pt>
              </c:strCache>
            </c:strRef>
          </c:tx>
          <c:spPr>
            <a:solidFill>
              <a:srgbClr val="02809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Data_Q4!$G$13:$G$19</c:f>
              <c:strCache>
                <c:ptCount val="6"/>
                <c:pt idx="0">
                  <c:v>Technology &amp; Accessories</c:v>
                </c:pt>
                <c:pt idx="1">
                  <c:v>Textbooks</c:v>
                </c:pt>
                <c:pt idx="2">
                  <c:v>Books (General)</c:v>
                </c:pt>
                <c:pt idx="3">
                  <c:v>Apparel and Merchandise</c:v>
                </c:pt>
                <c:pt idx="4">
                  <c:v>Art Supplies</c:v>
                </c:pt>
                <c:pt idx="5">
                  <c:v>Stationery and Supplies</c:v>
                </c:pt>
              </c:strCache>
            </c:strRef>
          </c:cat>
          <c:val>
            <c:numRef>
              <c:f>Data_Q4!$H$13:$H$19</c:f>
              <c:numCache>
                <c:formatCode>"$"#,##0.00_);[Red]\("$"#,##0.00\)</c:formatCode>
                <c:ptCount val="6"/>
                <c:pt idx="0">
                  <c:v>5044301.53</c:v>
                </c:pt>
                <c:pt idx="1">
                  <c:v>1525841.02</c:v>
                </c:pt>
                <c:pt idx="2">
                  <c:v>305221.27999999997</c:v>
                </c:pt>
                <c:pt idx="3">
                  <c:v>300812.21000000014</c:v>
                </c:pt>
                <c:pt idx="4">
                  <c:v>258838.93999999997</c:v>
                </c:pt>
                <c:pt idx="5">
                  <c:v>102807.88000000002</c:v>
                </c:pt>
              </c:numCache>
            </c:numRef>
          </c:val>
          <c:extLst>
            <c:ext xmlns:c16="http://schemas.microsoft.com/office/drawing/2014/chart" uri="{C3380CC4-5D6E-409C-BE32-E72D297353CC}">
              <c16:uniqueId val="{00000000-D222-4B56-9577-81248C9BB8FC}"/>
            </c:ext>
          </c:extLst>
        </c:ser>
        <c:dLbls>
          <c:dLblPos val="outEnd"/>
          <c:showLegendKey val="0"/>
          <c:showVal val="1"/>
          <c:showCatName val="0"/>
          <c:showSerName val="0"/>
          <c:showPercent val="0"/>
          <c:showBubbleSize val="0"/>
        </c:dLbls>
        <c:gapWidth val="115"/>
        <c:overlap val="-20"/>
        <c:axId val="22754047"/>
        <c:axId val="22754527"/>
      </c:barChart>
      <c:catAx>
        <c:axId val="227540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2754527"/>
        <c:crosses val="autoZero"/>
        <c:auto val="1"/>
        <c:lblAlgn val="ctr"/>
        <c:lblOffset val="100"/>
        <c:noMultiLvlLbl val="0"/>
      </c:catAx>
      <c:valAx>
        <c:axId val="2275452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2754047"/>
        <c:crosses val="autoZero"/>
        <c:crossBetween val="between"/>
        <c:majorUnit val="2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[Guerrero_Maryland_Chart.xlsx]Data_Q2!PivotTable3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b="1"/>
              <a:t>Total 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28575" cap="rnd">
            <a:solidFill>
              <a:srgbClr val="02809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Data_Q2!$E$2</c:f>
              <c:strCache>
                <c:ptCount val="1"/>
                <c:pt idx="0">
                  <c:v>Total</c:v>
                </c:pt>
              </c:strCache>
            </c:strRef>
          </c:tx>
          <c:spPr>
            <a:ln w="28575" cap="rnd">
              <a:solidFill>
                <a:schemeClr val="accent6"/>
              </a:solidFill>
              <a:round/>
            </a:ln>
            <a:effectLst/>
          </c:spPr>
          <c:marker>
            <c:symbol val="none"/>
          </c:marker>
          <c:cat>
            <c:strRef>
              <c:f>Data_Q2!$D$3:$D$51</c:f>
              <c:strCache>
                <c:ptCount val="48"/>
                <c:pt idx="0">
                  <c:v>2022-01-01</c:v>
                </c:pt>
                <c:pt idx="1">
                  <c:v>2022-02-01</c:v>
                </c:pt>
                <c:pt idx="2">
                  <c:v>2022-03-01</c:v>
                </c:pt>
                <c:pt idx="3">
                  <c:v>2022-04-01</c:v>
                </c:pt>
                <c:pt idx="4">
                  <c:v>2022-05-01</c:v>
                </c:pt>
                <c:pt idx="5">
                  <c:v>2022-06-01</c:v>
                </c:pt>
                <c:pt idx="6">
                  <c:v>2022-07-01</c:v>
                </c:pt>
                <c:pt idx="7">
                  <c:v>2022-08-01</c:v>
                </c:pt>
                <c:pt idx="8">
                  <c:v>2022-09-01</c:v>
                </c:pt>
                <c:pt idx="9">
                  <c:v>2022-10-01</c:v>
                </c:pt>
                <c:pt idx="10">
                  <c:v>2022-11-01</c:v>
                </c:pt>
                <c:pt idx="11">
                  <c:v>2022-12-01</c:v>
                </c:pt>
                <c:pt idx="12">
                  <c:v>2023-01-01</c:v>
                </c:pt>
                <c:pt idx="13">
                  <c:v>2023-02-01</c:v>
                </c:pt>
                <c:pt idx="14">
                  <c:v>2023-03-01</c:v>
                </c:pt>
                <c:pt idx="15">
                  <c:v>2023-04-01</c:v>
                </c:pt>
                <c:pt idx="16">
                  <c:v>2023-05-01</c:v>
                </c:pt>
                <c:pt idx="17">
                  <c:v>2023-06-01</c:v>
                </c:pt>
                <c:pt idx="18">
                  <c:v>2023-07-01</c:v>
                </c:pt>
                <c:pt idx="19">
                  <c:v>2023-08-01</c:v>
                </c:pt>
                <c:pt idx="20">
                  <c:v>2023-09-01</c:v>
                </c:pt>
                <c:pt idx="21">
                  <c:v>2023-10-01</c:v>
                </c:pt>
                <c:pt idx="22">
                  <c:v>2023-11-01</c:v>
                </c:pt>
                <c:pt idx="23">
                  <c:v>2023-12-01</c:v>
                </c:pt>
                <c:pt idx="24">
                  <c:v>2024-01-01</c:v>
                </c:pt>
                <c:pt idx="25">
                  <c:v>2024-02-01</c:v>
                </c:pt>
                <c:pt idx="26">
                  <c:v>2024-03-01</c:v>
                </c:pt>
                <c:pt idx="27">
                  <c:v>2024-04-01</c:v>
                </c:pt>
                <c:pt idx="28">
                  <c:v>2024-05-01</c:v>
                </c:pt>
                <c:pt idx="29">
                  <c:v>2024-06-01</c:v>
                </c:pt>
                <c:pt idx="30">
                  <c:v>2024-07-01</c:v>
                </c:pt>
                <c:pt idx="31">
                  <c:v>2024-08-01</c:v>
                </c:pt>
                <c:pt idx="32">
                  <c:v>2024-09-01</c:v>
                </c:pt>
                <c:pt idx="33">
                  <c:v>2024-10-01</c:v>
                </c:pt>
                <c:pt idx="34">
                  <c:v>2024-11-01</c:v>
                </c:pt>
                <c:pt idx="35">
                  <c:v>2024-12-01</c:v>
                </c:pt>
                <c:pt idx="36">
                  <c:v>2025-01-01</c:v>
                </c:pt>
                <c:pt idx="37">
                  <c:v>2025-02-01</c:v>
                </c:pt>
                <c:pt idx="38">
                  <c:v>2025-03-01</c:v>
                </c:pt>
                <c:pt idx="39">
                  <c:v>2025-04-01</c:v>
                </c:pt>
                <c:pt idx="40">
                  <c:v>2025-05-01</c:v>
                </c:pt>
                <c:pt idx="41">
                  <c:v>2025-06-01</c:v>
                </c:pt>
                <c:pt idx="42">
                  <c:v>2025-07-01</c:v>
                </c:pt>
                <c:pt idx="43">
                  <c:v>2025-08-01</c:v>
                </c:pt>
                <c:pt idx="44">
                  <c:v>2025-09-01</c:v>
                </c:pt>
                <c:pt idx="45">
                  <c:v>2025-10-01</c:v>
                </c:pt>
                <c:pt idx="46">
                  <c:v>2025-11-01</c:v>
                </c:pt>
                <c:pt idx="47">
                  <c:v>2025-12-01</c:v>
                </c:pt>
              </c:strCache>
            </c:strRef>
          </c:cat>
          <c:val>
            <c:numRef>
              <c:f>Data_Q2!$E$3:$E$51</c:f>
              <c:numCache>
                <c:formatCode>"$"#,##0.00</c:formatCode>
                <c:ptCount val="48"/>
                <c:pt idx="0">
                  <c:v>190064.9</c:v>
                </c:pt>
                <c:pt idx="1">
                  <c:v>197529.18</c:v>
                </c:pt>
                <c:pt idx="2">
                  <c:v>210228.48000000001</c:v>
                </c:pt>
                <c:pt idx="3">
                  <c:v>179004.18</c:v>
                </c:pt>
                <c:pt idx="4">
                  <c:v>212028.7</c:v>
                </c:pt>
                <c:pt idx="5">
                  <c:v>198318.98</c:v>
                </c:pt>
                <c:pt idx="6">
                  <c:v>231208.13</c:v>
                </c:pt>
                <c:pt idx="7">
                  <c:v>203503.4</c:v>
                </c:pt>
                <c:pt idx="8">
                  <c:v>158952.74</c:v>
                </c:pt>
                <c:pt idx="9">
                  <c:v>200423.07</c:v>
                </c:pt>
                <c:pt idx="10">
                  <c:v>202365.13</c:v>
                </c:pt>
                <c:pt idx="11">
                  <c:v>226340.81</c:v>
                </c:pt>
                <c:pt idx="12">
                  <c:v>247207.8</c:v>
                </c:pt>
                <c:pt idx="13">
                  <c:v>215146.55</c:v>
                </c:pt>
                <c:pt idx="14">
                  <c:v>212397.1</c:v>
                </c:pt>
                <c:pt idx="15">
                  <c:v>253354.48</c:v>
                </c:pt>
                <c:pt idx="16">
                  <c:v>236271.38</c:v>
                </c:pt>
                <c:pt idx="17">
                  <c:v>243603.42</c:v>
                </c:pt>
                <c:pt idx="18">
                  <c:v>218664.85</c:v>
                </c:pt>
                <c:pt idx="19">
                  <c:v>233256.77</c:v>
                </c:pt>
                <c:pt idx="20">
                  <c:v>227638.37</c:v>
                </c:pt>
                <c:pt idx="21">
                  <c:v>248095.23</c:v>
                </c:pt>
                <c:pt idx="22">
                  <c:v>242019.94</c:v>
                </c:pt>
                <c:pt idx="23">
                  <c:v>236037.31</c:v>
                </c:pt>
                <c:pt idx="24">
                  <c:v>234650.29</c:v>
                </c:pt>
                <c:pt idx="25">
                  <c:v>200891.75</c:v>
                </c:pt>
                <c:pt idx="26">
                  <c:v>263664.98</c:v>
                </c:pt>
                <c:pt idx="27">
                  <c:v>225960.88</c:v>
                </c:pt>
                <c:pt idx="28">
                  <c:v>248901.48</c:v>
                </c:pt>
                <c:pt idx="29">
                  <c:v>213366.79</c:v>
                </c:pt>
                <c:pt idx="30">
                  <c:v>233256.77</c:v>
                </c:pt>
                <c:pt idx="31">
                  <c:v>234863.77</c:v>
                </c:pt>
                <c:pt idx="32">
                  <c:v>240869.83</c:v>
                </c:pt>
                <c:pt idx="33">
                  <c:v>247456.61</c:v>
                </c:pt>
                <c:pt idx="34">
                  <c:v>230600.64</c:v>
                </c:pt>
                <c:pt idx="35">
                  <c:v>247207.8</c:v>
                </c:pt>
                <c:pt idx="36">
                  <c:v>277874.74</c:v>
                </c:pt>
                <c:pt idx="37">
                  <c:v>262318.88</c:v>
                </c:pt>
                <c:pt idx="38">
                  <c:v>293722.84000000003</c:v>
                </c:pt>
                <c:pt idx="39">
                  <c:v>206982.63</c:v>
                </c:pt>
                <c:pt idx="40">
                  <c:v>225774.67</c:v>
                </c:pt>
                <c:pt idx="41">
                  <c:v>216983.57</c:v>
                </c:pt>
                <c:pt idx="42">
                  <c:v>310327.15999999997</c:v>
                </c:pt>
                <c:pt idx="43">
                  <c:v>311949.14</c:v>
                </c:pt>
                <c:pt idx="44">
                  <c:v>304304.78999999998</c:v>
                </c:pt>
                <c:pt idx="45">
                  <c:v>359699.69</c:v>
                </c:pt>
                <c:pt idx="46">
                  <c:v>304194.5</c:v>
                </c:pt>
                <c:pt idx="47">
                  <c:v>332129.99</c:v>
                </c:pt>
              </c:numCache>
            </c:numRef>
          </c:val>
          <c:smooth val="0"/>
          <c:extLst>
            <c:ext xmlns:c16="http://schemas.microsoft.com/office/drawing/2014/chart" uri="{C3380CC4-5D6E-409C-BE32-E72D297353CC}">
              <c16:uniqueId val="{00000000-F42F-4913-8C7A-B4DC71A2D633}"/>
            </c:ext>
          </c:extLst>
        </c:ser>
        <c:dLbls>
          <c:showLegendKey val="0"/>
          <c:showVal val="0"/>
          <c:showCatName val="0"/>
          <c:showSerName val="0"/>
          <c:showPercent val="0"/>
          <c:showBubbleSize val="0"/>
        </c:dLbls>
        <c:smooth val="0"/>
        <c:axId val="816200671"/>
        <c:axId val="816197791"/>
      </c:lineChart>
      <c:catAx>
        <c:axId val="81620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816197791"/>
        <c:crosses val="autoZero"/>
        <c:auto val="1"/>
        <c:lblAlgn val="ctr"/>
        <c:lblOffset val="100"/>
        <c:tickLblSkip val="3"/>
        <c:noMultiLvlLbl val="0"/>
      </c:catAx>
      <c:valAx>
        <c:axId val="8161977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81620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[Guerrero_Maryland_Chart.xlsx]Data_Q2!PivotTable3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b="1"/>
              <a:t>Total 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28575" cap="rnd">
            <a:solidFill>
              <a:srgbClr val="02809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Data_Q2!$E$2</c:f>
              <c:strCache>
                <c:ptCount val="1"/>
                <c:pt idx="0">
                  <c:v>Total</c:v>
                </c:pt>
              </c:strCache>
            </c:strRef>
          </c:tx>
          <c:spPr>
            <a:ln w="28575" cap="rnd">
              <a:solidFill>
                <a:schemeClr val="accent6"/>
              </a:solidFill>
              <a:round/>
            </a:ln>
            <a:effectLst/>
          </c:spPr>
          <c:marker>
            <c:symbol val="none"/>
          </c:marker>
          <c:cat>
            <c:strRef>
              <c:f>Data_Q2!$D$3:$D$51</c:f>
              <c:strCache>
                <c:ptCount val="48"/>
                <c:pt idx="0">
                  <c:v>2022-01-01</c:v>
                </c:pt>
                <c:pt idx="1">
                  <c:v>2022-02-01</c:v>
                </c:pt>
                <c:pt idx="2">
                  <c:v>2022-03-01</c:v>
                </c:pt>
                <c:pt idx="3">
                  <c:v>2022-04-01</c:v>
                </c:pt>
                <c:pt idx="4">
                  <c:v>2022-05-01</c:v>
                </c:pt>
                <c:pt idx="5">
                  <c:v>2022-06-01</c:v>
                </c:pt>
                <c:pt idx="6">
                  <c:v>2022-07-01</c:v>
                </c:pt>
                <c:pt idx="7">
                  <c:v>2022-08-01</c:v>
                </c:pt>
                <c:pt idx="8">
                  <c:v>2022-09-01</c:v>
                </c:pt>
                <c:pt idx="9">
                  <c:v>2022-10-01</c:v>
                </c:pt>
                <c:pt idx="10">
                  <c:v>2022-11-01</c:v>
                </c:pt>
                <c:pt idx="11">
                  <c:v>2022-12-01</c:v>
                </c:pt>
                <c:pt idx="12">
                  <c:v>2023-01-01</c:v>
                </c:pt>
                <c:pt idx="13">
                  <c:v>2023-02-01</c:v>
                </c:pt>
                <c:pt idx="14">
                  <c:v>2023-03-01</c:v>
                </c:pt>
                <c:pt idx="15">
                  <c:v>2023-04-01</c:v>
                </c:pt>
                <c:pt idx="16">
                  <c:v>2023-05-01</c:v>
                </c:pt>
                <c:pt idx="17">
                  <c:v>2023-06-01</c:v>
                </c:pt>
                <c:pt idx="18">
                  <c:v>2023-07-01</c:v>
                </c:pt>
                <c:pt idx="19">
                  <c:v>2023-08-01</c:v>
                </c:pt>
                <c:pt idx="20">
                  <c:v>2023-09-01</c:v>
                </c:pt>
                <c:pt idx="21">
                  <c:v>2023-10-01</c:v>
                </c:pt>
                <c:pt idx="22">
                  <c:v>2023-11-01</c:v>
                </c:pt>
                <c:pt idx="23">
                  <c:v>2023-12-01</c:v>
                </c:pt>
                <c:pt idx="24">
                  <c:v>2024-01-01</c:v>
                </c:pt>
                <c:pt idx="25">
                  <c:v>2024-02-01</c:v>
                </c:pt>
                <c:pt idx="26">
                  <c:v>2024-03-01</c:v>
                </c:pt>
                <c:pt idx="27">
                  <c:v>2024-04-01</c:v>
                </c:pt>
                <c:pt idx="28">
                  <c:v>2024-05-01</c:v>
                </c:pt>
                <c:pt idx="29">
                  <c:v>2024-06-01</c:v>
                </c:pt>
                <c:pt idx="30">
                  <c:v>2024-07-01</c:v>
                </c:pt>
                <c:pt idx="31">
                  <c:v>2024-08-01</c:v>
                </c:pt>
                <c:pt idx="32">
                  <c:v>2024-09-01</c:v>
                </c:pt>
                <c:pt idx="33">
                  <c:v>2024-10-01</c:v>
                </c:pt>
                <c:pt idx="34">
                  <c:v>2024-11-01</c:v>
                </c:pt>
                <c:pt idx="35">
                  <c:v>2024-12-01</c:v>
                </c:pt>
                <c:pt idx="36">
                  <c:v>2025-01-01</c:v>
                </c:pt>
                <c:pt idx="37">
                  <c:v>2025-02-01</c:v>
                </c:pt>
                <c:pt idx="38">
                  <c:v>2025-03-01</c:v>
                </c:pt>
                <c:pt idx="39">
                  <c:v>2025-04-01</c:v>
                </c:pt>
                <c:pt idx="40">
                  <c:v>2025-05-01</c:v>
                </c:pt>
                <c:pt idx="41">
                  <c:v>2025-06-01</c:v>
                </c:pt>
                <c:pt idx="42">
                  <c:v>2025-07-01</c:v>
                </c:pt>
                <c:pt idx="43">
                  <c:v>2025-08-01</c:v>
                </c:pt>
                <c:pt idx="44">
                  <c:v>2025-09-01</c:v>
                </c:pt>
                <c:pt idx="45">
                  <c:v>2025-10-01</c:v>
                </c:pt>
                <c:pt idx="46">
                  <c:v>2025-11-01</c:v>
                </c:pt>
                <c:pt idx="47">
                  <c:v>2025-12-01</c:v>
                </c:pt>
              </c:strCache>
            </c:strRef>
          </c:cat>
          <c:val>
            <c:numRef>
              <c:f>Data_Q2!$E$3:$E$51</c:f>
              <c:numCache>
                <c:formatCode>"$"#,##0.00</c:formatCode>
                <c:ptCount val="48"/>
                <c:pt idx="0">
                  <c:v>190064.9</c:v>
                </c:pt>
                <c:pt idx="1">
                  <c:v>197529.18</c:v>
                </c:pt>
                <c:pt idx="2">
                  <c:v>210228.48000000001</c:v>
                </c:pt>
                <c:pt idx="3">
                  <c:v>179004.18</c:v>
                </c:pt>
                <c:pt idx="4">
                  <c:v>212028.7</c:v>
                </c:pt>
                <c:pt idx="5">
                  <c:v>198318.98</c:v>
                </c:pt>
                <c:pt idx="6">
                  <c:v>231208.13</c:v>
                </c:pt>
                <c:pt idx="7">
                  <c:v>203503.4</c:v>
                </c:pt>
                <c:pt idx="8">
                  <c:v>158952.74</c:v>
                </c:pt>
                <c:pt idx="9">
                  <c:v>200423.07</c:v>
                </c:pt>
                <c:pt idx="10">
                  <c:v>202365.13</c:v>
                </c:pt>
                <c:pt idx="11">
                  <c:v>226340.81</c:v>
                </c:pt>
                <c:pt idx="12">
                  <c:v>247207.8</c:v>
                </c:pt>
                <c:pt idx="13">
                  <c:v>215146.55</c:v>
                </c:pt>
                <c:pt idx="14">
                  <c:v>212397.1</c:v>
                </c:pt>
                <c:pt idx="15">
                  <c:v>253354.48</c:v>
                </c:pt>
                <c:pt idx="16">
                  <c:v>236271.38</c:v>
                </c:pt>
                <c:pt idx="17">
                  <c:v>243603.42</c:v>
                </c:pt>
                <c:pt idx="18">
                  <c:v>218664.85</c:v>
                </c:pt>
                <c:pt idx="19">
                  <c:v>233256.77</c:v>
                </c:pt>
                <c:pt idx="20">
                  <c:v>227638.37</c:v>
                </c:pt>
                <c:pt idx="21">
                  <c:v>248095.23</c:v>
                </c:pt>
                <c:pt idx="22">
                  <c:v>242019.94</c:v>
                </c:pt>
                <c:pt idx="23">
                  <c:v>236037.31</c:v>
                </c:pt>
                <c:pt idx="24">
                  <c:v>234650.29</c:v>
                </c:pt>
                <c:pt idx="25">
                  <c:v>200891.75</c:v>
                </c:pt>
                <c:pt idx="26">
                  <c:v>263664.98</c:v>
                </c:pt>
                <c:pt idx="27">
                  <c:v>225960.88</c:v>
                </c:pt>
                <c:pt idx="28">
                  <c:v>248901.48</c:v>
                </c:pt>
                <c:pt idx="29">
                  <c:v>213366.79</c:v>
                </c:pt>
                <c:pt idx="30">
                  <c:v>233256.77</c:v>
                </c:pt>
                <c:pt idx="31">
                  <c:v>234863.77</c:v>
                </c:pt>
                <c:pt idx="32">
                  <c:v>240869.83</c:v>
                </c:pt>
                <c:pt idx="33">
                  <c:v>247456.61</c:v>
                </c:pt>
                <c:pt idx="34">
                  <c:v>230600.64</c:v>
                </c:pt>
                <c:pt idx="35">
                  <c:v>247207.8</c:v>
                </c:pt>
                <c:pt idx="36">
                  <c:v>277874.74</c:v>
                </c:pt>
                <c:pt idx="37">
                  <c:v>262318.88</c:v>
                </c:pt>
                <c:pt idx="38">
                  <c:v>293722.84000000003</c:v>
                </c:pt>
                <c:pt idx="39">
                  <c:v>206982.63</c:v>
                </c:pt>
                <c:pt idx="40">
                  <c:v>225774.67</c:v>
                </c:pt>
                <c:pt idx="41">
                  <c:v>216983.57</c:v>
                </c:pt>
                <c:pt idx="42">
                  <c:v>310327.15999999997</c:v>
                </c:pt>
                <c:pt idx="43">
                  <c:v>311949.14</c:v>
                </c:pt>
                <c:pt idx="44">
                  <c:v>304304.78999999998</c:v>
                </c:pt>
                <c:pt idx="45">
                  <c:v>359699.69</c:v>
                </c:pt>
                <c:pt idx="46">
                  <c:v>304194.5</c:v>
                </c:pt>
                <c:pt idx="47">
                  <c:v>332129.99</c:v>
                </c:pt>
              </c:numCache>
            </c:numRef>
          </c:val>
          <c:smooth val="0"/>
          <c:extLst>
            <c:ext xmlns:c16="http://schemas.microsoft.com/office/drawing/2014/chart" uri="{C3380CC4-5D6E-409C-BE32-E72D297353CC}">
              <c16:uniqueId val="{00000000-6A68-47E1-9B38-9C41D977CC20}"/>
            </c:ext>
          </c:extLst>
        </c:ser>
        <c:dLbls>
          <c:showLegendKey val="0"/>
          <c:showVal val="0"/>
          <c:showCatName val="0"/>
          <c:showSerName val="0"/>
          <c:showPercent val="0"/>
          <c:showBubbleSize val="0"/>
        </c:dLbls>
        <c:smooth val="0"/>
        <c:axId val="816200671"/>
        <c:axId val="816197791"/>
      </c:lineChart>
      <c:catAx>
        <c:axId val="81620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816197791"/>
        <c:crosses val="autoZero"/>
        <c:auto val="1"/>
        <c:lblAlgn val="ctr"/>
        <c:lblOffset val="100"/>
        <c:tickLblSkip val="3"/>
        <c:noMultiLvlLbl val="0"/>
      </c:catAx>
      <c:valAx>
        <c:axId val="8161977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81620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[Guerrero_Maryland_Chart.xlsx]Data_Q2!PivotTable3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b="1"/>
              <a:t>Total 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28575" cap="rnd">
            <a:solidFill>
              <a:srgbClr val="02809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Data_Q2!$E$2</c:f>
              <c:strCache>
                <c:ptCount val="1"/>
                <c:pt idx="0">
                  <c:v>Total</c:v>
                </c:pt>
              </c:strCache>
            </c:strRef>
          </c:tx>
          <c:spPr>
            <a:ln w="28575" cap="rnd">
              <a:solidFill>
                <a:schemeClr val="accent6"/>
              </a:solidFill>
              <a:round/>
            </a:ln>
            <a:effectLst/>
          </c:spPr>
          <c:marker>
            <c:symbol val="none"/>
          </c:marker>
          <c:cat>
            <c:strRef>
              <c:f>Data_Q2!$D$3:$D$51</c:f>
              <c:strCache>
                <c:ptCount val="48"/>
                <c:pt idx="0">
                  <c:v>2022-01-01</c:v>
                </c:pt>
                <c:pt idx="1">
                  <c:v>2022-02-01</c:v>
                </c:pt>
                <c:pt idx="2">
                  <c:v>2022-03-01</c:v>
                </c:pt>
                <c:pt idx="3">
                  <c:v>2022-04-01</c:v>
                </c:pt>
                <c:pt idx="4">
                  <c:v>2022-05-01</c:v>
                </c:pt>
                <c:pt idx="5">
                  <c:v>2022-06-01</c:v>
                </c:pt>
                <c:pt idx="6">
                  <c:v>2022-07-01</c:v>
                </c:pt>
                <c:pt idx="7">
                  <c:v>2022-08-01</c:v>
                </c:pt>
                <c:pt idx="8">
                  <c:v>2022-09-01</c:v>
                </c:pt>
                <c:pt idx="9">
                  <c:v>2022-10-01</c:v>
                </c:pt>
                <c:pt idx="10">
                  <c:v>2022-11-01</c:v>
                </c:pt>
                <c:pt idx="11">
                  <c:v>2022-12-01</c:v>
                </c:pt>
                <c:pt idx="12">
                  <c:v>2023-01-01</c:v>
                </c:pt>
                <c:pt idx="13">
                  <c:v>2023-02-01</c:v>
                </c:pt>
                <c:pt idx="14">
                  <c:v>2023-03-01</c:v>
                </c:pt>
                <c:pt idx="15">
                  <c:v>2023-04-01</c:v>
                </c:pt>
                <c:pt idx="16">
                  <c:v>2023-05-01</c:v>
                </c:pt>
                <c:pt idx="17">
                  <c:v>2023-06-01</c:v>
                </c:pt>
                <c:pt idx="18">
                  <c:v>2023-07-01</c:v>
                </c:pt>
                <c:pt idx="19">
                  <c:v>2023-08-01</c:v>
                </c:pt>
                <c:pt idx="20">
                  <c:v>2023-09-01</c:v>
                </c:pt>
                <c:pt idx="21">
                  <c:v>2023-10-01</c:v>
                </c:pt>
                <c:pt idx="22">
                  <c:v>2023-11-01</c:v>
                </c:pt>
                <c:pt idx="23">
                  <c:v>2023-12-01</c:v>
                </c:pt>
                <c:pt idx="24">
                  <c:v>2024-01-01</c:v>
                </c:pt>
                <c:pt idx="25">
                  <c:v>2024-02-01</c:v>
                </c:pt>
                <c:pt idx="26">
                  <c:v>2024-03-01</c:v>
                </c:pt>
                <c:pt idx="27">
                  <c:v>2024-04-01</c:v>
                </c:pt>
                <c:pt idx="28">
                  <c:v>2024-05-01</c:v>
                </c:pt>
                <c:pt idx="29">
                  <c:v>2024-06-01</c:v>
                </c:pt>
                <c:pt idx="30">
                  <c:v>2024-07-01</c:v>
                </c:pt>
                <c:pt idx="31">
                  <c:v>2024-08-01</c:v>
                </c:pt>
                <c:pt idx="32">
                  <c:v>2024-09-01</c:v>
                </c:pt>
                <c:pt idx="33">
                  <c:v>2024-10-01</c:v>
                </c:pt>
                <c:pt idx="34">
                  <c:v>2024-11-01</c:v>
                </c:pt>
                <c:pt idx="35">
                  <c:v>2024-12-01</c:v>
                </c:pt>
                <c:pt idx="36">
                  <c:v>2025-01-01</c:v>
                </c:pt>
                <c:pt idx="37">
                  <c:v>2025-02-01</c:v>
                </c:pt>
                <c:pt idx="38">
                  <c:v>2025-03-01</c:v>
                </c:pt>
                <c:pt idx="39">
                  <c:v>2025-04-01</c:v>
                </c:pt>
                <c:pt idx="40">
                  <c:v>2025-05-01</c:v>
                </c:pt>
                <c:pt idx="41">
                  <c:v>2025-06-01</c:v>
                </c:pt>
                <c:pt idx="42">
                  <c:v>2025-07-01</c:v>
                </c:pt>
                <c:pt idx="43">
                  <c:v>2025-08-01</c:v>
                </c:pt>
                <c:pt idx="44">
                  <c:v>2025-09-01</c:v>
                </c:pt>
                <c:pt idx="45">
                  <c:v>2025-10-01</c:v>
                </c:pt>
                <c:pt idx="46">
                  <c:v>2025-11-01</c:v>
                </c:pt>
                <c:pt idx="47">
                  <c:v>2025-12-01</c:v>
                </c:pt>
              </c:strCache>
            </c:strRef>
          </c:cat>
          <c:val>
            <c:numRef>
              <c:f>Data_Q2!$E$3:$E$51</c:f>
              <c:numCache>
                <c:formatCode>"$"#,##0.00</c:formatCode>
                <c:ptCount val="48"/>
                <c:pt idx="0">
                  <c:v>190064.9</c:v>
                </c:pt>
                <c:pt idx="1">
                  <c:v>197529.18</c:v>
                </c:pt>
                <c:pt idx="2">
                  <c:v>210228.48000000001</c:v>
                </c:pt>
                <c:pt idx="3">
                  <c:v>179004.18</c:v>
                </c:pt>
                <c:pt idx="4">
                  <c:v>212028.7</c:v>
                </c:pt>
                <c:pt idx="5">
                  <c:v>198318.98</c:v>
                </c:pt>
                <c:pt idx="6">
                  <c:v>231208.13</c:v>
                </c:pt>
                <c:pt idx="7">
                  <c:v>203503.4</c:v>
                </c:pt>
                <c:pt idx="8">
                  <c:v>158952.74</c:v>
                </c:pt>
                <c:pt idx="9">
                  <c:v>200423.07</c:v>
                </c:pt>
                <c:pt idx="10">
                  <c:v>202365.13</c:v>
                </c:pt>
                <c:pt idx="11">
                  <c:v>226340.81</c:v>
                </c:pt>
                <c:pt idx="12">
                  <c:v>247207.8</c:v>
                </c:pt>
                <c:pt idx="13">
                  <c:v>215146.55</c:v>
                </c:pt>
                <c:pt idx="14">
                  <c:v>212397.1</c:v>
                </c:pt>
                <c:pt idx="15">
                  <c:v>253354.48</c:v>
                </c:pt>
                <c:pt idx="16">
                  <c:v>236271.38</c:v>
                </c:pt>
                <c:pt idx="17">
                  <c:v>243603.42</c:v>
                </c:pt>
                <c:pt idx="18">
                  <c:v>218664.85</c:v>
                </c:pt>
                <c:pt idx="19">
                  <c:v>233256.77</c:v>
                </c:pt>
                <c:pt idx="20">
                  <c:v>227638.37</c:v>
                </c:pt>
                <c:pt idx="21">
                  <c:v>248095.23</c:v>
                </c:pt>
                <c:pt idx="22">
                  <c:v>242019.94</c:v>
                </c:pt>
                <c:pt idx="23">
                  <c:v>236037.31</c:v>
                </c:pt>
                <c:pt idx="24">
                  <c:v>234650.29</c:v>
                </c:pt>
                <c:pt idx="25">
                  <c:v>200891.75</c:v>
                </c:pt>
                <c:pt idx="26">
                  <c:v>263664.98</c:v>
                </c:pt>
                <c:pt idx="27">
                  <c:v>225960.88</c:v>
                </c:pt>
                <c:pt idx="28">
                  <c:v>248901.48</c:v>
                </c:pt>
                <c:pt idx="29">
                  <c:v>213366.79</c:v>
                </c:pt>
                <c:pt idx="30">
                  <c:v>233256.77</c:v>
                </c:pt>
                <c:pt idx="31">
                  <c:v>234863.77</c:v>
                </c:pt>
                <c:pt idx="32">
                  <c:v>240869.83</c:v>
                </c:pt>
                <c:pt idx="33">
                  <c:v>247456.61</c:v>
                </c:pt>
                <c:pt idx="34">
                  <c:v>230600.64</c:v>
                </c:pt>
                <c:pt idx="35">
                  <c:v>247207.8</c:v>
                </c:pt>
                <c:pt idx="36">
                  <c:v>277874.74</c:v>
                </c:pt>
                <c:pt idx="37">
                  <c:v>262318.88</c:v>
                </c:pt>
                <c:pt idx="38">
                  <c:v>293722.84000000003</c:v>
                </c:pt>
                <c:pt idx="39">
                  <c:v>206982.63</c:v>
                </c:pt>
                <c:pt idx="40">
                  <c:v>225774.67</c:v>
                </c:pt>
                <c:pt idx="41">
                  <c:v>216983.57</c:v>
                </c:pt>
                <c:pt idx="42">
                  <c:v>310327.15999999997</c:v>
                </c:pt>
                <c:pt idx="43">
                  <c:v>311949.14</c:v>
                </c:pt>
                <c:pt idx="44">
                  <c:v>304304.78999999998</c:v>
                </c:pt>
                <c:pt idx="45">
                  <c:v>359699.69</c:v>
                </c:pt>
                <c:pt idx="46">
                  <c:v>304194.5</c:v>
                </c:pt>
                <c:pt idx="47">
                  <c:v>332129.99</c:v>
                </c:pt>
              </c:numCache>
            </c:numRef>
          </c:val>
          <c:smooth val="0"/>
          <c:extLst>
            <c:ext xmlns:c16="http://schemas.microsoft.com/office/drawing/2014/chart" uri="{C3380CC4-5D6E-409C-BE32-E72D297353CC}">
              <c16:uniqueId val="{00000000-5A03-4820-9592-36188CB6CFCF}"/>
            </c:ext>
          </c:extLst>
        </c:ser>
        <c:dLbls>
          <c:showLegendKey val="0"/>
          <c:showVal val="0"/>
          <c:showCatName val="0"/>
          <c:showSerName val="0"/>
          <c:showPercent val="0"/>
          <c:showBubbleSize val="0"/>
        </c:dLbls>
        <c:smooth val="0"/>
        <c:axId val="816200671"/>
        <c:axId val="816197791"/>
      </c:lineChart>
      <c:catAx>
        <c:axId val="81620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816197791"/>
        <c:crosses val="autoZero"/>
        <c:auto val="1"/>
        <c:lblAlgn val="ctr"/>
        <c:lblOffset val="100"/>
        <c:tickLblSkip val="3"/>
        <c:noMultiLvlLbl val="0"/>
      </c:catAx>
      <c:valAx>
        <c:axId val="8161977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81620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[Guerrero_Maryland_Chart.xlsx]Data_Q4!PivotTable6</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a:t>Category Revenue Breakdown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rgbClr val="028090"/>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2809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2809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2809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2809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2809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Data_Q4!$H$12</c:f>
              <c:strCache>
                <c:ptCount val="1"/>
                <c:pt idx="0">
                  <c:v>Total</c:v>
                </c:pt>
              </c:strCache>
            </c:strRef>
          </c:tx>
          <c:spPr>
            <a:solidFill>
              <a:srgbClr val="02809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Data_Q4!$G$13:$G$19</c:f>
              <c:strCache>
                <c:ptCount val="6"/>
                <c:pt idx="0">
                  <c:v>Technology &amp; Accessories</c:v>
                </c:pt>
                <c:pt idx="1">
                  <c:v>Textbooks</c:v>
                </c:pt>
                <c:pt idx="2">
                  <c:v>Books (General)</c:v>
                </c:pt>
                <c:pt idx="3">
                  <c:v>Apparel and Merchandise</c:v>
                </c:pt>
                <c:pt idx="4">
                  <c:v>Art Supplies</c:v>
                </c:pt>
                <c:pt idx="5">
                  <c:v>Stationery and Supplies</c:v>
                </c:pt>
              </c:strCache>
            </c:strRef>
          </c:cat>
          <c:val>
            <c:numRef>
              <c:f>Data_Q4!$H$13:$H$19</c:f>
              <c:numCache>
                <c:formatCode>"$"#,##0.00_);[Red]\("$"#,##0.00\)</c:formatCode>
                <c:ptCount val="6"/>
                <c:pt idx="0">
                  <c:v>5044301.53</c:v>
                </c:pt>
                <c:pt idx="1">
                  <c:v>1525841.02</c:v>
                </c:pt>
                <c:pt idx="2">
                  <c:v>305221.27999999997</c:v>
                </c:pt>
                <c:pt idx="3">
                  <c:v>300812.21000000014</c:v>
                </c:pt>
                <c:pt idx="4">
                  <c:v>258838.93999999997</c:v>
                </c:pt>
                <c:pt idx="5">
                  <c:v>102807.88000000002</c:v>
                </c:pt>
              </c:numCache>
            </c:numRef>
          </c:val>
          <c:extLst>
            <c:ext xmlns:c16="http://schemas.microsoft.com/office/drawing/2014/chart" uri="{C3380CC4-5D6E-409C-BE32-E72D297353CC}">
              <c16:uniqueId val="{00000000-2DAF-4DA1-9641-B8640C873A13}"/>
            </c:ext>
          </c:extLst>
        </c:ser>
        <c:dLbls>
          <c:dLblPos val="outEnd"/>
          <c:showLegendKey val="0"/>
          <c:showVal val="1"/>
          <c:showCatName val="0"/>
          <c:showSerName val="0"/>
          <c:showPercent val="0"/>
          <c:showBubbleSize val="0"/>
        </c:dLbls>
        <c:gapWidth val="115"/>
        <c:overlap val="-20"/>
        <c:axId val="22754047"/>
        <c:axId val="22754527"/>
      </c:barChart>
      <c:catAx>
        <c:axId val="227540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2754527"/>
        <c:crosses val="autoZero"/>
        <c:auto val="1"/>
        <c:lblAlgn val="ctr"/>
        <c:lblOffset val="100"/>
        <c:noMultiLvlLbl val="0"/>
      </c:catAx>
      <c:valAx>
        <c:axId val="2275452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2754047"/>
        <c:crosses val="autoZero"/>
        <c:crossBetween val="between"/>
        <c:majorUnit val="2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[Guerrero_Maryland_Chart.xlsx]Data_Q5!PivotTable15</c:name>
    <c:fmtId val="5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Store Performance</a:t>
            </a:r>
            <a:r>
              <a:rPr lang="en-US" baseline="0"/>
              <a:t> Ranking</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298957207049331"/>
              <c:y val="1.7908968104121875E-2"/>
            </c:manualLayout>
          </c:layout>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298957207049331"/>
              <c:y val="1.7908968104121875E-2"/>
            </c:manualLayout>
          </c:layout>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298957207049331"/>
              <c:y val="1.7908968104121875E-2"/>
            </c:manualLayout>
          </c:layout>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041924697491615"/>
          <c:y val="0.23352084262199158"/>
          <c:w val="0.63916129927398813"/>
          <c:h val="0.73346164040215744"/>
        </c:manualLayout>
      </c:layout>
      <c:pieChart>
        <c:varyColors val="1"/>
        <c:ser>
          <c:idx val="0"/>
          <c:order val="0"/>
          <c:tx>
            <c:strRef>
              <c:f>Data_Q5!$B$12</c:f>
              <c:strCache>
                <c:ptCount val="1"/>
                <c:pt idx="0">
                  <c:v>Sum of Total_Revenue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C62-4EDB-AD66-A6A58CBF32C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C62-4EDB-AD66-A6A58CBF32C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C62-4EDB-AD66-A6A58CBF32C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C62-4EDB-AD66-A6A58CBF32C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C62-4EDB-AD66-A6A58CBF32C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C62-4EDB-AD66-A6A58CBF32C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C62-4EDB-AD66-A6A58CBF32C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C62-4EDB-AD66-A6A58CBF32C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2C62-4EDB-AD66-A6A58CBF32CC}"/>
              </c:ext>
            </c:extLst>
          </c:dPt>
          <c:dLbls>
            <c:dLbl>
              <c:idx val="8"/>
              <c:layout>
                <c:manualLayout>
                  <c:x val="0.17298957207049331"/>
                  <c:y val="1.7908968104121875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1-2C62-4EDB-AD66-A6A58CBF32CC}"/>
                </c:ext>
              </c:extLst>
            </c:dLbl>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Data_Q5!$A$13:$A$22</c:f>
              <c:strCache>
                <c:ptCount val="9"/>
                <c:pt idx="0">
                  <c:v>North Harford</c:v>
                </c:pt>
                <c:pt idx="1">
                  <c:v>Germantown</c:v>
                </c:pt>
                <c:pt idx="2">
                  <c:v>Parkville</c:v>
                </c:pt>
                <c:pt idx="3">
                  <c:v>Howard</c:v>
                </c:pt>
                <c:pt idx="4">
                  <c:v>Ridgely</c:v>
                </c:pt>
                <c:pt idx="5">
                  <c:v>Baltimore</c:v>
                </c:pt>
                <c:pt idx="6">
                  <c:v>Back River</c:v>
                </c:pt>
                <c:pt idx="7">
                  <c:v>Queen Anne's County</c:v>
                </c:pt>
                <c:pt idx="8">
                  <c:v>Annapolis</c:v>
                </c:pt>
              </c:strCache>
            </c:strRef>
          </c:cat>
          <c:val>
            <c:numRef>
              <c:f>Data_Q5!$B$13:$B$22</c:f>
              <c:numCache>
                <c:formatCode>"$"#,##0.00</c:formatCode>
                <c:ptCount val="9"/>
                <c:pt idx="0">
                  <c:v>8708119</c:v>
                </c:pt>
                <c:pt idx="1">
                  <c:v>584675.92000000004</c:v>
                </c:pt>
                <c:pt idx="2">
                  <c:v>320441.24</c:v>
                </c:pt>
                <c:pt idx="3">
                  <c:v>319394.58</c:v>
                </c:pt>
                <c:pt idx="4">
                  <c:v>318511.03999999998</c:v>
                </c:pt>
                <c:pt idx="5">
                  <c:v>310099.90000000002</c:v>
                </c:pt>
                <c:pt idx="6">
                  <c:v>303433.61</c:v>
                </c:pt>
                <c:pt idx="7">
                  <c:v>298074.49</c:v>
                </c:pt>
                <c:pt idx="8">
                  <c:v>288865.31</c:v>
                </c:pt>
              </c:numCache>
            </c:numRef>
          </c:val>
          <c:extLst>
            <c:ext xmlns:c16="http://schemas.microsoft.com/office/drawing/2014/chart" uri="{C3380CC4-5D6E-409C-BE32-E72D297353CC}">
              <c16:uniqueId val="{00000012-2C62-4EDB-AD66-A6A58CBF32CC}"/>
            </c:ext>
          </c:extLst>
        </c:ser>
        <c:ser>
          <c:idx val="1"/>
          <c:order val="1"/>
          <c:tx>
            <c:strRef>
              <c:f>Data_Q5!$C$12</c:f>
              <c:strCache>
                <c:ptCount val="1"/>
                <c:pt idx="0">
                  <c:v>Sum of Transaction_Count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2C62-4EDB-AD66-A6A58CBF32C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2C62-4EDB-AD66-A6A58CBF32C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2C62-4EDB-AD66-A6A58CBF32C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2C62-4EDB-AD66-A6A58CBF32C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2C62-4EDB-AD66-A6A58CBF32C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2C62-4EDB-AD66-A6A58CBF32C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0-2C62-4EDB-AD66-A6A58CBF32C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2-2C62-4EDB-AD66-A6A58CBF32C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4-2C62-4EDB-AD66-A6A58CBF32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Data_Q5!$A$13:$A$22</c:f>
              <c:strCache>
                <c:ptCount val="9"/>
                <c:pt idx="0">
                  <c:v>North Harford</c:v>
                </c:pt>
                <c:pt idx="1">
                  <c:v>Germantown</c:v>
                </c:pt>
                <c:pt idx="2">
                  <c:v>Parkville</c:v>
                </c:pt>
                <c:pt idx="3">
                  <c:v>Howard</c:v>
                </c:pt>
                <c:pt idx="4">
                  <c:v>Ridgely</c:v>
                </c:pt>
                <c:pt idx="5">
                  <c:v>Baltimore</c:v>
                </c:pt>
                <c:pt idx="6">
                  <c:v>Back River</c:v>
                </c:pt>
                <c:pt idx="7">
                  <c:v>Queen Anne's County</c:v>
                </c:pt>
                <c:pt idx="8">
                  <c:v>Annapolis</c:v>
                </c:pt>
              </c:strCache>
            </c:strRef>
          </c:cat>
          <c:val>
            <c:numRef>
              <c:f>Data_Q5!$C$13:$C$22</c:f>
              <c:numCache>
                <c:formatCode>General</c:formatCode>
                <c:ptCount val="9"/>
                <c:pt idx="0">
                  <c:v>69530</c:v>
                </c:pt>
                <c:pt idx="1">
                  <c:v>4363</c:v>
                </c:pt>
                <c:pt idx="2">
                  <c:v>2192</c:v>
                </c:pt>
                <c:pt idx="3">
                  <c:v>2181</c:v>
                </c:pt>
                <c:pt idx="4">
                  <c:v>2341</c:v>
                </c:pt>
                <c:pt idx="5">
                  <c:v>2222</c:v>
                </c:pt>
                <c:pt idx="6">
                  <c:v>2228</c:v>
                </c:pt>
                <c:pt idx="7">
                  <c:v>2202</c:v>
                </c:pt>
                <c:pt idx="8">
                  <c:v>2207</c:v>
                </c:pt>
              </c:numCache>
            </c:numRef>
          </c:val>
          <c:extLst>
            <c:ext xmlns:c16="http://schemas.microsoft.com/office/drawing/2014/chart" uri="{C3380CC4-5D6E-409C-BE32-E72D297353CC}">
              <c16:uniqueId val="{00000025-2C62-4EDB-AD66-A6A58CBF32CC}"/>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[Guerrero_Maryland_Chart.xlsx]Data_Q6A!PivotTable12</c:name>
    <c:fmtId val="3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Products by Total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a:outerShdw blurRad="57150" dist="19050" dir="5400000" algn="ctr" rotWithShape="0">
              <a:srgbClr val="000000">
                <a:alpha val="63000"/>
              </a:srgbClr>
            </a:outerShdw>
          </a:effectLst>
        </c:spPr>
      </c:pivotFmt>
      <c:pivotFmt>
        <c:idx val="5"/>
        <c:spPr>
          <a:solidFill>
            <a:schemeClr val="accent5">
              <a:lumMod val="75000"/>
            </a:schemeClr>
          </a:solidFill>
          <a:ln>
            <a:noFill/>
          </a:ln>
          <a:effectLst>
            <a:outerShdw blurRad="57150" dist="19050" dir="5400000" algn="ctr" rotWithShape="0">
              <a:srgbClr val="000000">
                <a:alpha val="63000"/>
              </a:srgbClr>
            </a:outerShdw>
          </a:effectLst>
        </c:spPr>
      </c:pivotFmt>
      <c:pivotFmt>
        <c:idx val="6"/>
        <c:spPr>
          <a:solidFill>
            <a:schemeClr val="accent5">
              <a:lumMod val="75000"/>
            </a:schemeClr>
          </a:solidFill>
          <a:ln>
            <a:noFill/>
          </a:ln>
          <a:effectLst>
            <a:outerShdw blurRad="57150" dist="19050" dir="5400000" algn="ctr" rotWithShape="0">
              <a:srgbClr val="000000">
                <a:alpha val="63000"/>
              </a:srgbClr>
            </a:outerShdw>
          </a:effectLst>
        </c:spPr>
      </c:pivotFmt>
      <c:pivotFmt>
        <c:idx val="7"/>
        <c:spPr>
          <a:solidFill>
            <a:schemeClr val="accent5">
              <a:lumMod val="75000"/>
            </a:schemeClr>
          </a:solidFill>
          <a:ln>
            <a:noFill/>
          </a:ln>
          <a:effectLst>
            <a:outerShdw blurRad="57150" dist="19050" dir="5400000" algn="ctr" rotWithShape="0">
              <a:srgbClr val="000000">
                <a:alpha val="63000"/>
              </a:srgbClr>
            </a:outerShdw>
          </a:effectLst>
        </c:spPr>
      </c:pivotFmt>
      <c:pivotFmt>
        <c:idx val="8"/>
        <c:spPr>
          <a:solidFill>
            <a:schemeClr val="accent5">
              <a:lumMod val="75000"/>
            </a:schemeClr>
          </a:solidFill>
          <a:ln>
            <a:noFill/>
          </a:ln>
          <a:effectLst>
            <a:outerShdw blurRad="57150" dist="19050" dir="5400000" algn="ctr" rotWithShape="0">
              <a:srgbClr val="000000">
                <a:alpha val="63000"/>
              </a:srgbClr>
            </a:outerShdw>
          </a:effectLst>
        </c:spPr>
      </c:pivotFmt>
      <c:pivotFmt>
        <c:idx val="9"/>
        <c:spPr>
          <a:solidFill>
            <a:schemeClr val="accent5">
              <a:lumMod val="75000"/>
            </a:schemeClr>
          </a:solidFill>
          <a:ln>
            <a:noFill/>
          </a:ln>
          <a:effectLst>
            <a:outerShdw blurRad="57150" dist="19050" dir="5400000" algn="ctr" rotWithShape="0">
              <a:srgbClr val="000000">
                <a:alpha val="63000"/>
              </a:srgbClr>
            </a:outerShdw>
          </a:effectLst>
        </c:spPr>
      </c:pivotFmt>
      <c:pivotFmt>
        <c:idx val="10"/>
        <c:spPr>
          <a:solidFill>
            <a:schemeClr val="accent5">
              <a:lumMod val="75000"/>
            </a:schemeClr>
          </a:solidFill>
          <a:ln>
            <a:noFill/>
          </a:ln>
          <a:effectLst>
            <a:outerShdw blurRad="57150" dist="19050" dir="5400000" algn="ctr" rotWithShape="0">
              <a:srgbClr val="000000">
                <a:alpha val="63000"/>
              </a:srgbClr>
            </a:outerShdw>
          </a:effectLst>
        </c:spPr>
      </c:pivotFmt>
      <c:pivotFmt>
        <c:idx val="11"/>
        <c:spPr>
          <a:solidFill>
            <a:schemeClr val="accent5">
              <a:lumMod val="75000"/>
            </a:schemeClr>
          </a:solidFill>
          <a:ln>
            <a:noFill/>
          </a:ln>
          <a:effectLst>
            <a:outerShdw blurRad="57150" dist="19050" dir="5400000" algn="ctr" rotWithShape="0">
              <a:srgbClr val="000000">
                <a:alpha val="63000"/>
              </a:srgbClr>
            </a:outerShdw>
          </a:effectLst>
        </c:spPr>
      </c:pivotFmt>
      <c:pivotFmt>
        <c:idx val="12"/>
        <c:spPr>
          <a:solidFill>
            <a:schemeClr val="accent5">
              <a:lumMod val="75000"/>
            </a:schemeClr>
          </a:solidFill>
          <a:ln>
            <a:noFill/>
          </a:ln>
          <a:effectLst>
            <a:outerShdw blurRad="57150" dist="19050" dir="5400000" algn="ctr" rotWithShape="0">
              <a:srgbClr val="000000">
                <a:alpha val="63000"/>
              </a:srgbClr>
            </a:outerShdw>
          </a:effectLst>
        </c:spPr>
      </c:pivotFmt>
      <c:pivotFmt>
        <c:idx val="13"/>
        <c:spPr>
          <a:solidFill>
            <a:schemeClr val="accent5">
              <a:lumMod val="75000"/>
            </a:schemeClr>
          </a:solidFill>
          <a:ln>
            <a:noFill/>
          </a:ln>
          <a:effectLst>
            <a:outerShdw blurRad="57150" dist="19050" dir="5400000" algn="ctr" rotWithShape="0">
              <a:srgbClr val="000000">
                <a:alpha val="63000"/>
              </a:srgbClr>
            </a:outerShdw>
          </a:effectLst>
        </c:spPr>
      </c:pivotFmt>
      <c:pivotFmt>
        <c:idx val="14"/>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280663495346"/>
          <c:y val="0.21664302244386577"/>
          <c:w val="0.75658408548716927"/>
          <c:h val="0.51421380507910297"/>
        </c:manualLayout>
      </c:layout>
      <c:barChart>
        <c:barDir val="col"/>
        <c:grouping val="clustered"/>
        <c:varyColors val="0"/>
        <c:ser>
          <c:idx val="0"/>
          <c:order val="0"/>
          <c:tx>
            <c:strRef>
              <c:f>Data_Q6A!$B$13</c:f>
              <c:strCache>
                <c:ptCount val="1"/>
                <c:pt idx="0">
                  <c:v>Revenue</c:v>
                </c:pt>
              </c:strCache>
            </c:strRef>
          </c:tx>
          <c:spPr>
            <a:solidFill>
              <a:schemeClr val="accent5">
                <a:lumMod val="75000"/>
              </a:schemeClr>
            </a:solidFill>
            <a:ln>
              <a:noFill/>
            </a:ln>
            <a:effectLst>
              <a:outerShdw blurRad="57150" dist="19050" dir="5400000" algn="ctr" rotWithShape="0">
                <a:srgbClr val="000000">
                  <a:alpha val="63000"/>
                </a:srgbClr>
              </a:outerShdw>
            </a:effectLst>
          </c:spPr>
          <c:invertIfNegative val="0"/>
          <c:cat>
            <c:strRef>
              <c:f>Data_Q6A!$A$14:$A$24</c:f>
              <c:strCache>
                <c:ptCount val="10"/>
                <c:pt idx="0">
                  <c:v>MSI Creator Z16</c:v>
                </c:pt>
                <c:pt idx="1">
                  <c:v>Macbook Air M2</c:v>
                </c:pt>
                <c:pt idx="2">
                  <c:v>Macbook Pro M2</c:v>
                </c:pt>
                <c:pt idx="3">
                  <c:v>IdeaPad Flex 5</c:v>
                </c:pt>
                <c:pt idx="4">
                  <c:v>LG Gram 17</c:v>
                </c:pt>
                <c:pt idx="5">
                  <c:v>Galaxy Book Pro</c:v>
                </c:pt>
                <c:pt idx="6">
                  <c:v>ThinkPad X1</c:v>
                </c:pt>
                <c:pt idx="7">
                  <c:v>VivoBook S15</c:v>
                </c:pt>
                <c:pt idx="8">
                  <c:v>HP Spectre x360</c:v>
                </c:pt>
                <c:pt idx="9">
                  <c:v>Dell Inspiron 15</c:v>
                </c:pt>
              </c:strCache>
            </c:strRef>
          </c:cat>
          <c:val>
            <c:numRef>
              <c:f>Data_Q6A!$B$14:$B$24</c:f>
              <c:numCache>
                <c:formatCode>"$"#,##0</c:formatCode>
                <c:ptCount val="10"/>
                <c:pt idx="0">
                  <c:v>306883.8</c:v>
                </c:pt>
                <c:pt idx="1">
                  <c:v>261090.4</c:v>
                </c:pt>
                <c:pt idx="2">
                  <c:v>257655</c:v>
                </c:pt>
                <c:pt idx="3">
                  <c:v>251094.2</c:v>
                </c:pt>
                <c:pt idx="4">
                  <c:v>228489.04</c:v>
                </c:pt>
                <c:pt idx="5">
                  <c:v>219375.68</c:v>
                </c:pt>
                <c:pt idx="6">
                  <c:v>218738.88</c:v>
                </c:pt>
                <c:pt idx="7">
                  <c:v>217056</c:v>
                </c:pt>
                <c:pt idx="8">
                  <c:v>212663.2</c:v>
                </c:pt>
                <c:pt idx="9">
                  <c:v>205561.2</c:v>
                </c:pt>
              </c:numCache>
            </c:numRef>
          </c:val>
          <c:extLst>
            <c:ext xmlns:c16="http://schemas.microsoft.com/office/drawing/2014/chart" uri="{C3380CC4-5D6E-409C-BE32-E72D297353CC}">
              <c16:uniqueId val="{00000000-CF45-4DBA-8F9C-DE524EAD6BBC}"/>
            </c:ext>
          </c:extLst>
        </c:ser>
        <c:dLbls>
          <c:showLegendKey val="0"/>
          <c:showVal val="0"/>
          <c:showCatName val="0"/>
          <c:showSerName val="0"/>
          <c:showPercent val="0"/>
          <c:showBubbleSize val="0"/>
        </c:dLbls>
        <c:gapWidth val="219"/>
        <c:overlap val="-27"/>
        <c:axId val="1882257391"/>
        <c:axId val="1882268911"/>
      </c:barChart>
      <c:lineChart>
        <c:grouping val="standard"/>
        <c:varyColors val="0"/>
        <c:ser>
          <c:idx val="1"/>
          <c:order val="1"/>
          <c:tx>
            <c:strRef>
              <c:f>Data_Q6A!$C$13</c:f>
              <c:strCache>
                <c:ptCount val="1"/>
                <c:pt idx="0">
                  <c:v>Transactions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Data_Q6A!$A$14:$A$24</c:f>
              <c:strCache>
                <c:ptCount val="10"/>
                <c:pt idx="0">
                  <c:v>MSI Creator Z16</c:v>
                </c:pt>
                <c:pt idx="1">
                  <c:v>Macbook Air M2</c:v>
                </c:pt>
                <c:pt idx="2">
                  <c:v>Macbook Pro M2</c:v>
                </c:pt>
                <c:pt idx="3">
                  <c:v>IdeaPad Flex 5</c:v>
                </c:pt>
                <c:pt idx="4">
                  <c:v>LG Gram 17</c:v>
                </c:pt>
                <c:pt idx="5">
                  <c:v>Galaxy Book Pro</c:v>
                </c:pt>
                <c:pt idx="6">
                  <c:v>ThinkPad X1</c:v>
                </c:pt>
                <c:pt idx="7">
                  <c:v>VivoBook S15</c:v>
                </c:pt>
                <c:pt idx="8">
                  <c:v>HP Spectre x360</c:v>
                </c:pt>
                <c:pt idx="9">
                  <c:v>Dell Inspiron 15</c:v>
                </c:pt>
              </c:strCache>
            </c:strRef>
          </c:cat>
          <c:val>
            <c:numRef>
              <c:f>Data_Q6A!$C$14:$C$24</c:f>
              <c:numCache>
                <c:formatCode>General</c:formatCode>
                <c:ptCount val="10"/>
                <c:pt idx="0">
                  <c:v>174</c:v>
                </c:pt>
                <c:pt idx="1">
                  <c:v>152</c:v>
                </c:pt>
                <c:pt idx="2">
                  <c:v>150</c:v>
                </c:pt>
                <c:pt idx="3">
                  <c:v>194</c:v>
                </c:pt>
                <c:pt idx="4">
                  <c:v>166</c:v>
                </c:pt>
                <c:pt idx="5">
                  <c:v>172</c:v>
                </c:pt>
                <c:pt idx="6">
                  <c:v>174</c:v>
                </c:pt>
                <c:pt idx="7">
                  <c:v>168</c:v>
                </c:pt>
                <c:pt idx="8">
                  <c:v>170</c:v>
                </c:pt>
                <c:pt idx="9">
                  <c:v>156</c:v>
                </c:pt>
              </c:numCache>
            </c:numRef>
          </c:val>
          <c:smooth val="0"/>
          <c:extLst>
            <c:ext xmlns:c16="http://schemas.microsoft.com/office/drawing/2014/chart" uri="{C3380CC4-5D6E-409C-BE32-E72D297353CC}">
              <c16:uniqueId val="{00000001-CF45-4DBA-8F9C-DE524EAD6BBC}"/>
            </c:ext>
          </c:extLst>
        </c:ser>
        <c:dLbls>
          <c:showLegendKey val="0"/>
          <c:showVal val="0"/>
          <c:showCatName val="0"/>
          <c:showSerName val="0"/>
          <c:showPercent val="0"/>
          <c:showBubbleSize val="0"/>
        </c:dLbls>
        <c:marker val="1"/>
        <c:smooth val="0"/>
        <c:axId val="1103596367"/>
        <c:axId val="1103582927"/>
      </c:lineChart>
      <c:catAx>
        <c:axId val="1882257391"/>
        <c:scaling>
          <c:orientation val="minMax"/>
        </c:scaling>
        <c:delete val="0"/>
        <c:axPos val="b"/>
        <c:numFmt formatCode="&quot;$&quot;#,##0"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268911"/>
        <c:crosses val="autoZero"/>
        <c:auto val="1"/>
        <c:lblAlgn val="ctr"/>
        <c:lblOffset val="100"/>
        <c:noMultiLvlLbl val="0"/>
      </c:catAx>
      <c:valAx>
        <c:axId val="18822689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257391"/>
        <c:crosses val="autoZero"/>
        <c:crossBetween val="between"/>
      </c:valAx>
      <c:valAx>
        <c:axId val="110358292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596367"/>
        <c:crosses val="max"/>
        <c:crossBetween val="between"/>
      </c:valAx>
      <c:catAx>
        <c:axId val="1103596367"/>
        <c:scaling>
          <c:orientation val="minMax"/>
        </c:scaling>
        <c:delete val="1"/>
        <c:axPos val="b"/>
        <c:numFmt formatCode="General" sourceLinked="1"/>
        <c:majorTickMark val="none"/>
        <c:minorTickMark val="none"/>
        <c:tickLblPos val="nextTo"/>
        <c:crossAx val="1103582927"/>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[Guerrero_Maryland_Chart.xlsx]Data_Q6B!PivotTable13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b="1"/>
              <a:t>Category Year-Over-Year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700"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2700"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2700"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2700"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layout>
            <c:manualLayout>
              <c:x val="-9.3374538073911301E-2"/>
              <c:y val="-6.018518518518523E-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chemeClr val="accent6">
                        <a:lumMod val="75000"/>
                      </a:schemeClr>
                    </a:solidFill>
                  </a:rPr>
                  <a:t>+$521,972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layout>
            <c:manualLayout>
              <c:x val="-9.0628228130560873E-2"/>
              <c:y val="-0.111111111111111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rgbClr val="C00000"/>
                    </a:solidFill>
                  </a:rPr>
                  <a:t>-$99,322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layout>
            <c:manualLayout>
              <c:x val="-9.3374538073911301E-2"/>
              <c:y val="-6.018518518518523E-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chemeClr val="accent6">
                        <a:lumMod val="75000"/>
                      </a:schemeClr>
                    </a:solidFill>
                  </a:rPr>
                  <a:t>+$521,972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layout>
            <c:manualLayout>
              <c:x val="-9.0628228130560873E-2"/>
              <c:y val="-0.111111111111111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rgbClr val="C00000"/>
                    </a:solidFill>
                  </a:rPr>
                  <a:t>-$99,322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2"/>
        <c:spPr>
          <a:solidFill>
            <a:schemeClr val="accent1"/>
          </a:solidFill>
          <a:ln w="12700"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2700"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2700"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2700"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layout>
            <c:manualLayout>
              <c:x val="-9.3374538073911301E-2"/>
              <c:y val="-6.018518518518523E-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chemeClr val="accent6">
                        <a:lumMod val="75000"/>
                      </a:schemeClr>
                    </a:solidFill>
                  </a:rPr>
                  <a:t>+$521,972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8"/>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layout>
            <c:manualLayout>
              <c:x val="-9.0628228130560873E-2"/>
              <c:y val="-0.111111111111111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rgbClr val="C00000"/>
                    </a:solidFill>
                  </a:rPr>
                  <a:t>-$99,322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0"/>
        <c:spPr>
          <a:solidFill>
            <a:schemeClr val="accent1"/>
          </a:solidFill>
          <a:ln w="12700"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2700"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2700"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2700"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layout>
            <c:manualLayout>
              <c:x val="-9.3374538073911301E-2"/>
              <c:y val="-6.018518518518523E-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chemeClr val="accent6">
                        <a:lumMod val="75000"/>
                      </a:schemeClr>
                    </a:solidFill>
                  </a:rPr>
                  <a:t>+$521,972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6"/>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layout>
            <c:manualLayout>
              <c:x val="-9.0628228130560873E-2"/>
              <c:y val="-0.111111111111111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rgbClr val="C00000"/>
                    </a:solidFill>
                  </a:rPr>
                  <a:t>-$99,322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8"/>
        <c:spPr>
          <a:solidFill>
            <a:schemeClr val="accent1"/>
          </a:solidFill>
          <a:ln w="12700"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2700"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2700"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2700"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layout>
            <c:manualLayout>
              <c:x val="-9.3374538073911301E-2"/>
              <c:y val="-6.018518518518523E-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chemeClr val="accent6">
                        <a:lumMod val="75000"/>
                      </a:schemeClr>
                    </a:solidFill>
                  </a:rPr>
                  <a:t>+$521,972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4"/>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layout>
            <c:manualLayout>
              <c:x val="-9.0628228130560873E-2"/>
              <c:y val="-0.111111111111111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rgbClr val="C00000"/>
                    </a:solidFill>
                  </a:rPr>
                  <a:t>-$99,322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6"/>
        <c:spPr>
          <a:solidFill>
            <a:schemeClr val="accent1"/>
          </a:solidFill>
          <a:ln w="12700"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2700"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2700"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2700"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rgbClr val="02809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rgbClr val="028090"/>
            </a:solidFill>
            <a:round/>
          </a:ln>
          <a:effectLst/>
        </c:spPr>
        <c:marker>
          <c:symbol val="circle"/>
          <c:size val="5"/>
          <c:spPr>
            <a:solidFill>
              <a:schemeClr val="accent1"/>
            </a:solidFill>
            <a:ln w="9525">
              <a:solidFill>
                <a:schemeClr val="accent1"/>
              </a:solidFill>
            </a:ln>
            <a:effectLst/>
          </c:spPr>
        </c:marker>
        <c:dLbl>
          <c:idx val="0"/>
          <c:layout>
            <c:manualLayout>
              <c:x val="-9.3374538073911301E-2"/>
              <c:y val="-6.018518518518523E-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chemeClr val="accent6">
                        <a:lumMod val="75000"/>
                      </a:schemeClr>
                    </a:solidFill>
                  </a:rPr>
                  <a:t>+$521,972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2"/>
        <c:spPr>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layout>
            <c:manualLayout>
              <c:x val="-9.0628228130560873E-2"/>
              <c:y val="-0.111111111111111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rgbClr val="C00000"/>
                    </a:solidFill>
                  </a:rPr>
                  <a:t>-$99,322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4"/>
        <c:spPr>
          <a:ln w="12700"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12700"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12700"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12700"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Data_Q6B!$H$2:$H$3</c:f>
              <c:strCache>
                <c:ptCount val="1"/>
                <c:pt idx="0">
                  <c:v>Technology &amp; Accessories</c:v>
                </c:pt>
              </c:strCache>
            </c:strRef>
          </c:tx>
          <c:spPr>
            <a:ln w="28575" cap="rnd">
              <a:solidFill>
                <a:srgbClr val="028090"/>
              </a:solidFill>
              <a:round/>
            </a:ln>
            <a:effectLst/>
          </c:spPr>
          <c:marker>
            <c:symbol val="circle"/>
            <c:size val="5"/>
            <c:spPr>
              <a:solidFill>
                <a:schemeClr val="accent1"/>
              </a:solidFill>
              <a:ln w="9525">
                <a:solidFill>
                  <a:schemeClr val="accent1"/>
                </a:solidFill>
              </a:ln>
              <a:effectLst/>
            </c:spPr>
          </c:marker>
          <c:dPt>
            <c:idx val="3"/>
            <c:marker>
              <c:symbol val="circle"/>
              <c:size val="5"/>
              <c:spPr>
                <a:solidFill>
                  <a:schemeClr val="accent1"/>
                </a:solidFill>
                <a:ln w="9525">
                  <a:solidFill>
                    <a:schemeClr val="accent1"/>
                  </a:solidFill>
                </a:ln>
                <a:effectLst/>
              </c:spPr>
            </c:marker>
            <c:bubble3D val="0"/>
            <c:spPr>
              <a:ln w="28575" cap="rnd">
                <a:solidFill>
                  <a:srgbClr val="028090"/>
                </a:solidFill>
                <a:round/>
              </a:ln>
              <a:effectLst/>
            </c:spPr>
            <c:extLst>
              <c:ext xmlns:c16="http://schemas.microsoft.com/office/drawing/2014/chart" uri="{C3380CC4-5D6E-409C-BE32-E72D297353CC}">
                <c16:uniqueId val="{00000001-1514-4957-A373-D274C64B9888}"/>
              </c:ext>
            </c:extLst>
          </c:dPt>
          <c:dLbls>
            <c:dLbl>
              <c:idx val="3"/>
              <c:layout>
                <c:manualLayout>
                  <c:x val="-9.3374538073911301E-2"/>
                  <c:y val="-6.018518518518523E-2"/>
                </c:manualLayout>
              </c:layout>
              <c:tx>
                <c:rich>
                  <a:bodyPr/>
                  <a:lstStyle/>
                  <a:p>
                    <a:r>
                      <a:rPr lang="en-US">
                        <a:solidFill>
                          <a:schemeClr val="accent6">
                            <a:lumMod val="75000"/>
                          </a:schemeClr>
                        </a:solidFill>
                      </a:rPr>
                      <a:t>+$521,972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1514-4957-A373-D274C64B9888}"/>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Data_Q6B!$G$4:$G$8</c:f>
              <c:strCache>
                <c:ptCount val="4"/>
                <c:pt idx="0">
                  <c:v>2022</c:v>
                </c:pt>
                <c:pt idx="1">
                  <c:v>2023</c:v>
                </c:pt>
                <c:pt idx="2">
                  <c:v>2024</c:v>
                </c:pt>
                <c:pt idx="3">
                  <c:v>2025</c:v>
                </c:pt>
              </c:strCache>
            </c:strRef>
          </c:cat>
          <c:val>
            <c:numRef>
              <c:f>Data_Q6B!$H$4:$H$8</c:f>
              <c:numCache>
                <c:formatCode>"$"#,##0.00</c:formatCode>
                <c:ptCount val="4"/>
                <c:pt idx="0">
                  <c:v>1511977.6</c:v>
                </c:pt>
                <c:pt idx="1">
                  <c:v>1927244.53</c:v>
                </c:pt>
                <c:pt idx="2">
                  <c:v>1932871.91</c:v>
                </c:pt>
                <c:pt idx="3">
                  <c:v>2454843.7999999998</c:v>
                </c:pt>
              </c:numCache>
            </c:numRef>
          </c:val>
          <c:smooth val="0"/>
          <c:extLst>
            <c:ext xmlns:c16="http://schemas.microsoft.com/office/drawing/2014/chart" uri="{C3380CC4-5D6E-409C-BE32-E72D297353CC}">
              <c16:uniqueId val="{00000002-1514-4957-A373-D274C64B9888}"/>
            </c:ext>
          </c:extLst>
        </c:ser>
        <c:ser>
          <c:idx val="1"/>
          <c:order val="1"/>
          <c:tx>
            <c:strRef>
              <c:f>Data_Q6B!$I$2:$I$3</c:f>
              <c:strCache>
                <c:ptCount val="1"/>
                <c:pt idx="0">
                  <c:v>Textbooks</c:v>
                </c:pt>
              </c:strCache>
            </c:strRef>
          </c:tx>
          <c:spPr>
            <a:ln w="28575" cap="rnd">
              <a:solidFill>
                <a:srgbClr val="B85042"/>
              </a:solidFill>
              <a:prstDash val="dash"/>
              <a:round/>
            </a:ln>
            <a:effectLst/>
          </c:spPr>
          <c:marker>
            <c:symbol val="circle"/>
            <c:size val="5"/>
            <c:spPr>
              <a:solidFill>
                <a:schemeClr val="accent2"/>
              </a:solidFill>
              <a:ln w="9525">
                <a:solidFill>
                  <a:schemeClr val="accent2"/>
                </a:solidFill>
              </a:ln>
              <a:effectLst/>
            </c:spPr>
          </c:marker>
          <c:dPt>
            <c:idx val="3"/>
            <c:marker>
              <c:symbol val="circle"/>
              <c:size val="5"/>
              <c:spPr>
                <a:solidFill>
                  <a:schemeClr val="accent2"/>
                </a:solidFill>
                <a:ln w="9525">
                  <a:solidFill>
                    <a:schemeClr val="accent2"/>
                  </a:solidFill>
                </a:ln>
                <a:effectLst/>
              </c:spPr>
            </c:marker>
            <c:bubble3D val="0"/>
            <c:spPr>
              <a:ln w="28575" cap="rnd">
                <a:solidFill>
                  <a:srgbClr val="B85042"/>
                </a:solidFill>
                <a:prstDash val="dash"/>
                <a:round/>
              </a:ln>
              <a:effectLst/>
            </c:spPr>
            <c:extLst>
              <c:ext xmlns:c16="http://schemas.microsoft.com/office/drawing/2014/chart" uri="{C3380CC4-5D6E-409C-BE32-E72D297353CC}">
                <c16:uniqueId val="{00000004-1514-4957-A373-D274C64B9888}"/>
              </c:ext>
            </c:extLst>
          </c:dPt>
          <c:dLbls>
            <c:dLbl>
              <c:idx val="3"/>
              <c:layout>
                <c:manualLayout>
                  <c:x val="-9.0628228130560873E-2"/>
                  <c:y val="-0.1111111111111112"/>
                </c:manualLayout>
              </c:layout>
              <c:tx>
                <c:rich>
                  <a:bodyPr/>
                  <a:lstStyle/>
                  <a:p>
                    <a:r>
                      <a:rPr lang="en-US">
                        <a:solidFill>
                          <a:srgbClr val="C00000"/>
                        </a:solidFill>
                      </a:rPr>
                      <a:t>-$99,322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1514-4957-A373-D274C64B9888}"/>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Data_Q6B!$G$4:$G$8</c:f>
              <c:strCache>
                <c:ptCount val="4"/>
                <c:pt idx="0">
                  <c:v>2022</c:v>
                </c:pt>
                <c:pt idx="1">
                  <c:v>2023</c:v>
                </c:pt>
                <c:pt idx="2">
                  <c:v>2024</c:v>
                </c:pt>
                <c:pt idx="3">
                  <c:v>2025</c:v>
                </c:pt>
              </c:strCache>
            </c:strRef>
          </c:cat>
          <c:val>
            <c:numRef>
              <c:f>Data_Q6B!$I$4:$I$8</c:f>
              <c:numCache>
                <c:formatCode>"$"#,##0.00</c:formatCode>
                <c:ptCount val="4"/>
                <c:pt idx="0">
                  <c:v>587975.24</c:v>
                </c:pt>
                <c:pt idx="1">
                  <c:v>509847.59</c:v>
                </c:pt>
                <c:pt idx="2">
                  <c:v>511338.87</c:v>
                </c:pt>
                <c:pt idx="3">
                  <c:v>412016.17</c:v>
                </c:pt>
              </c:numCache>
            </c:numRef>
          </c:val>
          <c:smooth val="0"/>
          <c:extLst>
            <c:ext xmlns:c16="http://schemas.microsoft.com/office/drawing/2014/chart" uri="{C3380CC4-5D6E-409C-BE32-E72D297353CC}">
              <c16:uniqueId val="{00000005-1514-4957-A373-D274C64B9888}"/>
            </c:ext>
          </c:extLst>
        </c:ser>
        <c:ser>
          <c:idx val="2"/>
          <c:order val="2"/>
          <c:tx>
            <c:strRef>
              <c:f>Data_Q6B!$J$2:$J$3</c:f>
              <c:strCache>
                <c:ptCount val="1"/>
                <c:pt idx="0">
                  <c:v>Apparel and Merchandise</c:v>
                </c:pt>
              </c:strCache>
            </c:strRef>
          </c:tx>
          <c:spPr>
            <a:ln w="12700" cap="rnd">
              <a:solidFill>
                <a:schemeClr val="accent3"/>
              </a:solidFill>
              <a:round/>
            </a:ln>
            <a:effectLst/>
          </c:spPr>
          <c:marker>
            <c:symbol val="circle"/>
            <c:size val="5"/>
            <c:spPr>
              <a:solidFill>
                <a:schemeClr val="accent3"/>
              </a:solidFill>
              <a:ln w="9525">
                <a:solidFill>
                  <a:schemeClr val="accent3"/>
                </a:solidFill>
              </a:ln>
              <a:effectLst/>
            </c:spPr>
          </c:marker>
          <c:cat>
            <c:strRef>
              <c:f>Data_Q6B!$G$4:$G$8</c:f>
              <c:strCache>
                <c:ptCount val="4"/>
                <c:pt idx="0">
                  <c:v>2022</c:v>
                </c:pt>
                <c:pt idx="1">
                  <c:v>2023</c:v>
                </c:pt>
                <c:pt idx="2">
                  <c:v>2024</c:v>
                </c:pt>
                <c:pt idx="3">
                  <c:v>2025</c:v>
                </c:pt>
              </c:strCache>
            </c:strRef>
          </c:cat>
          <c:val>
            <c:numRef>
              <c:f>Data_Q6B!$J$4:$J$8</c:f>
              <c:numCache>
                <c:formatCode>"$"#,##0.00</c:formatCode>
                <c:ptCount val="4"/>
                <c:pt idx="0">
                  <c:v>91261.84</c:v>
                </c:pt>
                <c:pt idx="1">
                  <c:v>120010.22</c:v>
                </c:pt>
                <c:pt idx="2">
                  <c:v>120129.54</c:v>
                </c:pt>
                <c:pt idx="3">
                  <c:v>169185.87</c:v>
                </c:pt>
              </c:numCache>
            </c:numRef>
          </c:val>
          <c:smooth val="0"/>
          <c:extLst>
            <c:ext xmlns:c16="http://schemas.microsoft.com/office/drawing/2014/chart" uri="{C3380CC4-5D6E-409C-BE32-E72D297353CC}">
              <c16:uniqueId val="{00000006-1514-4957-A373-D274C64B9888}"/>
            </c:ext>
          </c:extLst>
        </c:ser>
        <c:ser>
          <c:idx val="3"/>
          <c:order val="3"/>
          <c:tx>
            <c:strRef>
              <c:f>Data_Q6B!$K$2:$K$3</c:f>
              <c:strCache>
                <c:ptCount val="1"/>
                <c:pt idx="0">
                  <c:v>Books (General)</c:v>
                </c:pt>
              </c:strCache>
            </c:strRef>
          </c:tx>
          <c:spPr>
            <a:ln w="12700" cap="rnd">
              <a:solidFill>
                <a:schemeClr val="accent4"/>
              </a:solidFill>
              <a:round/>
            </a:ln>
            <a:effectLst/>
          </c:spPr>
          <c:marker>
            <c:symbol val="circle"/>
            <c:size val="5"/>
            <c:spPr>
              <a:solidFill>
                <a:schemeClr val="accent4"/>
              </a:solidFill>
              <a:ln w="9525">
                <a:solidFill>
                  <a:schemeClr val="accent4"/>
                </a:solidFill>
              </a:ln>
              <a:effectLst/>
            </c:spPr>
          </c:marker>
          <c:cat>
            <c:strRef>
              <c:f>Data_Q6B!$G$4:$G$8</c:f>
              <c:strCache>
                <c:ptCount val="4"/>
                <c:pt idx="0">
                  <c:v>2022</c:v>
                </c:pt>
                <c:pt idx="1">
                  <c:v>2023</c:v>
                </c:pt>
                <c:pt idx="2">
                  <c:v>2024</c:v>
                </c:pt>
                <c:pt idx="3">
                  <c:v>2025</c:v>
                </c:pt>
              </c:strCache>
            </c:strRef>
          </c:cat>
          <c:val>
            <c:numRef>
              <c:f>Data_Q6B!$K$4:$K$8</c:f>
              <c:numCache>
                <c:formatCode>"$"#,##0.00</c:formatCode>
                <c:ptCount val="4"/>
                <c:pt idx="0">
                  <c:v>102417.62</c:v>
                </c:pt>
                <c:pt idx="1">
                  <c:v>116112.7</c:v>
                </c:pt>
                <c:pt idx="2">
                  <c:v>116405.21</c:v>
                </c:pt>
                <c:pt idx="3">
                  <c:v>159910.23000000001</c:v>
                </c:pt>
              </c:numCache>
            </c:numRef>
          </c:val>
          <c:smooth val="0"/>
          <c:extLst>
            <c:ext xmlns:c16="http://schemas.microsoft.com/office/drawing/2014/chart" uri="{C3380CC4-5D6E-409C-BE32-E72D297353CC}">
              <c16:uniqueId val="{00000007-1514-4957-A373-D274C64B9888}"/>
            </c:ext>
          </c:extLst>
        </c:ser>
        <c:ser>
          <c:idx val="4"/>
          <c:order val="4"/>
          <c:tx>
            <c:strRef>
              <c:f>Data_Q6B!$L$2:$L$3</c:f>
              <c:strCache>
                <c:ptCount val="1"/>
                <c:pt idx="0">
                  <c:v>Art Supplies</c:v>
                </c:pt>
              </c:strCache>
            </c:strRef>
          </c:tx>
          <c:spPr>
            <a:ln w="12700" cap="rnd">
              <a:solidFill>
                <a:schemeClr val="accent5"/>
              </a:solidFill>
              <a:round/>
            </a:ln>
            <a:effectLst/>
          </c:spPr>
          <c:marker>
            <c:symbol val="circle"/>
            <c:size val="5"/>
            <c:spPr>
              <a:solidFill>
                <a:schemeClr val="accent5"/>
              </a:solidFill>
              <a:ln w="9525">
                <a:solidFill>
                  <a:schemeClr val="accent5"/>
                </a:solidFill>
              </a:ln>
              <a:effectLst/>
            </c:spPr>
          </c:marker>
          <c:cat>
            <c:strRef>
              <c:f>Data_Q6B!$G$4:$G$8</c:f>
              <c:strCache>
                <c:ptCount val="4"/>
                <c:pt idx="0">
                  <c:v>2022</c:v>
                </c:pt>
                <c:pt idx="1">
                  <c:v>2023</c:v>
                </c:pt>
                <c:pt idx="2">
                  <c:v>2024</c:v>
                </c:pt>
                <c:pt idx="3">
                  <c:v>2025</c:v>
                </c:pt>
              </c:strCache>
            </c:strRef>
          </c:cat>
          <c:val>
            <c:numRef>
              <c:f>Data_Q6B!$L$4:$L$8</c:f>
              <c:numCache>
                <c:formatCode>"$"#,##0.00</c:formatCode>
                <c:ptCount val="4"/>
                <c:pt idx="0">
                  <c:v>84065.95</c:v>
                </c:pt>
                <c:pt idx="1">
                  <c:v>100179.64</c:v>
                </c:pt>
                <c:pt idx="2">
                  <c:v>100529.07</c:v>
                </c:pt>
                <c:pt idx="3">
                  <c:v>149222.01</c:v>
                </c:pt>
              </c:numCache>
            </c:numRef>
          </c:val>
          <c:smooth val="0"/>
          <c:extLst>
            <c:ext xmlns:c16="http://schemas.microsoft.com/office/drawing/2014/chart" uri="{C3380CC4-5D6E-409C-BE32-E72D297353CC}">
              <c16:uniqueId val="{00000008-1514-4957-A373-D274C64B9888}"/>
            </c:ext>
          </c:extLst>
        </c:ser>
        <c:ser>
          <c:idx val="5"/>
          <c:order val="5"/>
          <c:tx>
            <c:strRef>
              <c:f>Data_Q6B!$M$2:$M$3</c:f>
              <c:strCache>
                <c:ptCount val="1"/>
                <c:pt idx="0">
                  <c:v>Stationery and Supplies</c:v>
                </c:pt>
              </c:strCache>
            </c:strRef>
          </c:tx>
          <c:spPr>
            <a:ln w="12700" cap="rnd">
              <a:solidFill>
                <a:schemeClr val="accent6"/>
              </a:solidFill>
              <a:round/>
            </a:ln>
            <a:effectLst/>
          </c:spPr>
          <c:marker>
            <c:symbol val="circle"/>
            <c:size val="5"/>
            <c:spPr>
              <a:solidFill>
                <a:schemeClr val="accent6"/>
              </a:solidFill>
              <a:ln w="9525">
                <a:solidFill>
                  <a:schemeClr val="accent6"/>
                </a:solidFill>
              </a:ln>
              <a:effectLst/>
            </c:spPr>
          </c:marker>
          <c:cat>
            <c:strRef>
              <c:f>Data_Q6B!$G$4:$G$8</c:f>
              <c:strCache>
                <c:ptCount val="4"/>
                <c:pt idx="0">
                  <c:v>2022</c:v>
                </c:pt>
                <c:pt idx="1">
                  <c:v>2023</c:v>
                </c:pt>
                <c:pt idx="2">
                  <c:v>2024</c:v>
                </c:pt>
                <c:pt idx="3">
                  <c:v>2025</c:v>
                </c:pt>
              </c:strCache>
            </c:strRef>
          </c:cat>
          <c:val>
            <c:numRef>
              <c:f>Data_Q6B!$M$4:$M$8</c:f>
              <c:numCache>
                <c:formatCode>"$"#,##0.00</c:formatCode>
                <c:ptCount val="4"/>
                <c:pt idx="0">
                  <c:v>32269.45</c:v>
                </c:pt>
                <c:pt idx="1">
                  <c:v>40298.519999999997</c:v>
                </c:pt>
                <c:pt idx="2">
                  <c:v>40416.99</c:v>
                </c:pt>
                <c:pt idx="3">
                  <c:v>61084.52</c:v>
                </c:pt>
              </c:numCache>
            </c:numRef>
          </c:val>
          <c:smooth val="0"/>
          <c:extLst>
            <c:ext xmlns:c16="http://schemas.microsoft.com/office/drawing/2014/chart" uri="{C3380CC4-5D6E-409C-BE32-E72D297353CC}">
              <c16:uniqueId val="{00000009-1514-4957-A373-D274C64B9888}"/>
            </c:ext>
          </c:extLst>
        </c:ser>
        <c:dLbls>
          <c:showLegendKey val="0"/>
          <c:showVal val="0"/>
          <c:showCatName val="0"/>
          <c:showSerName val="0"/>
          <c:showPercent val="0"/>
          <c:showBubbleSize val="0"/>
        </c:dLbls>
        <c:marker val="1"/>
        <c:smooth val="0"/>
        <c:axId val="1333471759"/>
        <c:axId val="1333466479"/>
      </c:lineChart>
      <c:catAx>
        <c:axId val="133347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33466479"/>
        <c:crosses val="autoZero"/>
        <c:auto val="1"/>
        <c:lblAlgn val="ctr"/>
        <c:lblOffset val="100"/>
        <c:noMultiLvlLbl val="0"/>
      </c:catAx>
      <c:valAx>
        <c:axId val="13334664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3347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96633</xdr:colOff>
      <xdr:row>16</xdr:row>
      <xdr:rowOff>24156</xdr:rowOff>
    </xdr:from>
    <xdr:to>
      <xdr:col>11</xdr:col>
      <xdr:colOff>11392</xdr:colOff>
      <xdr:row>31</xdr:row>
      <xdr:rowOff>49625</xdr:rowOff>
    </xdr:to>
    <xdr:graphicFrame macro="">
      <xdr:nvGraphicFramePr>
        <xdr:cNvPr id="2" name="Chart 1">
          <a:extLst>
            <a:ext uri="{FF2B5EF4-FFF2-40B4-BE49-F238E27FC236}">
              <a16:creationId xmlns:a16="http://schemas.microsoft.com/office/drawing/2014/main" id="{2D17D5B8-F4D6-4C77-AF75-E92769F500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101461</xdr:colOff>
      <xdr:row>10</xdr:row>
      <xdr:rowOff>148467</xdr:rowOff>
    </xdr:from>
    <xdr:to>
      <xdr:col>10</xdr:col>
      <xdr:colOff>553899</xdr:colOff>
      <xdr:row>15</xdr:row>
      <xdr:rowOff>134593</xdr:rowOff>
    </xdr:to>
    <mc:AlternateContent xmlns:mc="http://schemas.openxmlformats.org/markup-compatibility/2006" xmlns:a14="http://schemas.microsoft.com/office/drawing/2010/main">
      <mc:Choice Requires="a14">
        <xdr:graphicFrame macro="">
          <xdr:nvGraphicFramePr>
            <xdr:cNvPr id="3" name="Years (Revenue_Month)">
              <a:extLst>
                <a:ext uri="{FF2B5EF4-FFF2-40B4-BE49-F238E27FC236}">
                  <a16:creationId xmlns:a16="http://schemas.microsoft.com/office/drawing/2014/main" id="{4298B508-B4DF-DA60-47F7-91BD0C589787}"/>
                </a:ext>
              </a:extLst>
            </xdr:cNvPr>
            <xdr:cNvGraphicFramePr/>
          </xdr:nvGraphicFramePr>
          <xdr:xfrm>
            <a:off x="0" y="0"/>
            <a:ext cx="0" cy="0"/>
          </xdr:xfrm>
          <a:graphic>
            <a:graphicData uri="http://schemas.microsoft.com/office/drawing/2010/slicer">
              <sle:slicer xmlns:sle="http://schemas.microsoft.com/office/drawing/2010/slicer" name="Years (Revenue_Month)"/>
            </a:graphicData>
          </a:graphic>
        </xdr:graphicFrame>
      </mc:Choice>
      <mc:Fallback xmlns="">
        <xdr:sp macro="" textlink="">
          <xdr:nvSpPr>
            <xdr:cNvPr id="0" name=""/>
            <xdr:cNvSpPr>
              <a:spLocks noTextEdit="1"/>
            </xdr:cNvSpPr>
          </xdr:nvSpPr>
          <xdr:spPr>
            <a:xfrm>
              <a:off x="166138" y="2318051"/>
              <a:ext cx="4474104" cy="8974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82827</xdr:colOff>
      <xdr:row>16</xdr:row>
      <xdr:rowOff>27608</xdr:rowOff>
    </xdr:from>
    <xdr:to>
      <xdr:col>21</xdr:col>
      <xdr:colOff>408884</xdr:colOff>
      <xdr:row>31</xdr:row>
      <xdr:rowOff>53077</xdr:rowOff>
    </xdr:to>
    <xdr:graphicFrame macro="">
      <xdr:nvGraphicFramePr>
        <xdr:cNvPr id="4" name="Chart 1">
          <a:extLst>
            <a:ext uri="{FF2B5EF4-FFF2-40B4-BE49-F238E27FC236}">
              <a16:creationId xmlns:a16="http://schemas.microsoft.com/office/drawing/2014/main" id="{54E6BEDA-ED9B-4B17-96EA-8ED79A581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25882</xdr:colOff>
      <xdr:row>10</xdr:row>
      <xdr:rowOff>144946</xdr:rowOff>
    </xdr:from>
    <xdr:to>
      <xdr:col>21</xdr:col>
      <xdr:colOff>419306</xdr:colOff>
      <xdr:row>15</xdr:row>
      <xdr:rowOff>150121</xdr:rowOff>
    </xdr:to>
    <mc:AlternateContent xmlns:mc="http://schemas.openxmlformats.org/markup-compatibility/2006" xmlns:a14="http://schemas.microsoft.com/office/drawing/2010/main">
      <mc:Choice Requires="a14">
        <xdr:graphicFrame macro="">
          <xdr:nvGraphicFramePr>
            <xdr:cNvPr id="5" name="Product_Category 1">
              <a:extLst>
                <a:ext uri="{FF2B5EF4-FFF2-40B4-BE49-F238E27FC236}">
                  <a16:creationId xmlns:a16="http://schemas.microsoft.com/office/drawing/2014/main" id="{3A1DB579-7684-4834-9012-2ABE8DD7EF08}"/>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4723707" y="2314530"/>
              <a:ext cx="4662035" cy="9165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89727</xdr:colOff>
      <xdr:row>31</xdr:row>
      <xdr:rowOff>96631</xdr:rowOff>
    </xdr:from>
    <xdr:to>
      <xdr:col>21</xdr:col>
      <xdr:colOff>409796</xdr:colOff>
      <xdr:row>51</xdr:row>
      <xdr:rowOff>66454</xdr:rowOff>
    </xdr:to>
    <xdr:graphicFrame macro="">
      <xdr:nvGraphicFramePr>
        <xdr:cNvPr id="7" name="Chart 3">
          <a:extLst>
            <a:ext uri="{FF2B5EF4-FFF2-40B4-BE49-F238E27FC236}">
              <a16:creationId xmlns:a16="http://schemas.microsoft.com/office/drawing/2014/main" id="{86E5FF81-BBDD-4D75-AF19-A962B6BA2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96632</xdr:colOff>
      <xdr:row>51</xdr:row>
      <xdr:rowOff>138043</xdr:rowOff>
    </xdr:from>
    <xdr:to>
      <xdr:col>10</xdr:col>
      <xdr:colOff>269184</xdr:colOff>
      <xdr:row>72</xdr:row>
      <xdr:rowOff>110434</xdr:rowOff>
    </xdr:to>
    <xdr:graphicFrame macro="">
      <xdr:nvGraphicFramePr>
        <xdr:cNvPr id="8" name="Chart 12">
          <a:extLst>
            <a:ext uri="{FF2B5EF4-FFF2-40B4-BE49-F238E27FC236}">
              <a16:creationId xmlns:a16="http://schemas.microsoft.com/office/drawing/2014/main" id="{79655589-872B-4D57-A3DA-8610A472B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331305</xdr:colOff>
      <xdr:row>51</xdr:row>
      <xdr:rowOff>144946</xdr:rowOff>
    </xdr:from>
    <xdr:to>
      <xdr:col>21</xdr:col>
      <xdr:colOff>420872</xdr:colOff>
      <xdr:row>72</xdr:row>
      <xdr:rowOff>117230</xdr:rowOff>
    </xdr:to>
    <xdr:graphicFrame macro="">
      <xdr:nvGraphicFramePr>
        <xdr:cNvPr id="9" name="Chart 2">
          <a:extLst>
            <a:ext uri="{FF2B5EF4-FFF2-40B4-BE49-F238E27FC236}">
              <a16:creationId xmlns:a16="http://schemas.microsoft.com/office/drawing/2014/main" id="{71406CF8-A1D0-419B-A40C-799876967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0.56244</cdr:x>
      <cdr:y>0.49671</cdr:y>
    </cdr:from>
    <cdr:to>
      <cdr:x>0.75151</cdr:x>
      <cdr:y>0.71369</cdr:y>
    </cdr:to>
    <cdr:sp macro="" textlink="">
      <cdr:nvSpPr>
        <cdr:cNvPr id="2" name="TextBox 1">
          <a:extLst xmlns:a="http://schemas.openxmlformats.org/drawingml/2006/main">
            <a:ext uri="{FF2B5EF4-FFF2-40B4-BE49-F238E27FC236}">
              <a16:creationId xmlns:a16="http://schemas.microsoft.com/office/drawing/2014/main" id="{DA062FB1-C6AA-4C0E-872B-B1BB91BAD054}"/>
            </a:ext>
          </a:extLst>
        </cdr:cNvPr>
        <cdr:cNvSpPr txBox="1"/>
      </cdr:nvSpPr>
      <cdr:spPr>
        <a:xfrm xmlns:a="http://schemas.openxmlformats.org/drawingml/2006/main">
          <a:off x="2720026" y="2093339"/>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100" b="1" kern="1200">
              <a:solidFill>
                <a:schemeClr val="bg1"/>
              </a:solidFill>
              <a:latin typeface="Calibri" panose="020F0502020204030204" pitchFamily="34" charset="0"/>
              <a:ea typeface="Calibri" panose="020F0502020204030204" pitchFamily="34" charset="0"/>
              <a:cs typeface="Calibri" panose="020F0502020204030204" pitchFamily="34" charset="0"/>
            </a:rPr>
            <a:t># 1</a:t>
          </a:r>
        </a:p>
        <a:p xmlns:a="http://schemas.openxmlformats.org/drawingml/2006/main">
          <a:pPr algn="ctr"/>
          <a:r>
            <a:rPr lang="en-US" sz="1100" b="1" kern="1200">
              <a:solidFill>
                <a:schemeClr val="bg1"/>
              </a:solidFill>
              <a:latin typeface="Calibri" panose="020F0502020204030204" pitchFamily="34" charset="0"/>
              <a:ea typeface="Calibri" panose="020F0502020204030204" pitchFamily="34" charset="0"/>
              <a:cs typeface="Calibri" panose="020F0502020204030204" pitchFamily="34" charset="0"/>
            </a:rPr>
            <a:t>76%</a:t>
          </a:r>
        </a:p>
        <a:p xmlns:a="http://schemas.openxmlformats.org/drawingml/2006/main">
          <a:pPr algn="ctr"/>
          <a:r>
            <a:rPr lang="en-US" sz="1100" b="1" kern="1200">
              <a:solidFill>
                <a:schemeClr val="bg1"/>
              </a:solidFill>
              <a:latin typeface="Calibri" panose="020F0502020204030204" pitchFamily="34" charset="0"/>
              <a:ea typeface="Calibri" panose="020F0502020204030204" pitchFamily="34" charset="0"/>
              <a:cs typeface="Calibri" panose="020F0502020204030204" pitchFamily="34" charset="0"/>
            </a:rPr>
            <a:t>69,530</a:t>
          </a:r>
          <a:r>
            <a:rPr lang="en-US" sz="1100" b="1" kern="1200" baseline="0">
              <a:solidFill>
                <a:schemeClr val="bg1"/>
              </a:solidFill>
              <a:latin typeface="Calibri" panose="020F0502020204030204" pitchFamily="34" charset="0"/>
              <a:ea typeface="Calibri" panose="020F0502020204030204" pitchFamily="34" charset="0"/>
              <a:cs typeface="Calibri" panose="020F0502020204030204" pitchFamily="34" charset="0"/>
            </a:rPr>
            <a:t> Transactions</a:t>
          </a:r>
          <a:endParaRPr lang="en-US" sz="1100" b="1" kern="1200">
            <a:solidFill>
              <a:schemeClr val="bg1"/>
            </a:solidFill>
            <a:latin typeface="Calibri" panose="020F0502020204030204" pitchFamily="34" charset="0"/>
            <a:ea typeface="Calibri" panose="020F0502020204030204" pitchFamily="34" charset="0"/>
            <a:cs typeface="Calibri" panose="020F050202020403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oneCellAnchor>
    <xdr:from>
      <xdr:col>0</xdr:col>
      <xdr:colOff>300039</xdr:colOff>
      <xdr:row>1</xdr:row>
      <xdr:rowOff>100013</xdr:rowOff>
    </xdr:from>
    <xdr:ext cx="5700712" cy="5603585"/>
    <xdr:sp macro="" textlink="">
      <xdr:nvSpPr>
        <xdr:cNvPr id="2" name="TextBox 1">
          <a:extLst>
            <a:ext uri="{FF2B5EF4-FFF2-40B4-BE49-F238E27FC236}">
              <a16:creationId xmlns:a16="http://schemas.microsoft.com/office/drawing/2014/main" id="{47291A87-3805-29B4-4D47-9D7DF285608D}"/>
            </a:ext>
          </a:extLst>
        </xdr:cNvPr>
        <xdr:cNvSpPr txBox="1"/>
      </xdr:nvSpPr>
      <xdr:spPr>
        <a:xfrm>
          <a:off x="300039" y="280988"/>
          <a:ext cx="5700712" cy="5603585"/>
        </a:xfrm>
        <a:prstGeom prst="rect">
          <a:avLst/>
        </a:prstGeom>
        <a:solidFill>
          <a:schemeClr val="bg1"/>
        </a:solidFill>
        <a:ln w="12700">
          <a:solidFill>
            <a:srgbClr val="1E2235"/>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latin typeface="Calibri" panose="020F0502020204030204" pitchFamily="34" charset="0"/>
              <a:ea typeface="Calibri" panose="020F0502020204030204" pitchFamily="34" charset="0"/>
              <a:cs typeface="Calibri" panose="020F0502020204030204" pitchFamily="34" charset="0"/>
            </a:rPr>
            <a:t>KPIs:</a:t>
          </a:r>
        </a:p>
        <a:p>
          <a:r>
            <a:rPr lang="en-US" sz="1100">
              <a:latin typeface="Calibri" panose="020F0502020204030204" pitchFamily="34" charset="0"/>
              <a:ea typeface="Calibri" panose="020F0502020204030204" pitchFamily="34" charset="0"/>
              <a:cs typeface="Calibri" panose="020F0502020204030204" pitchFamily="34" charset="0"/>
            </a:rPr>
            <a:t>Marylands</a:t>
          </a:r>
          <a:r>
            <a:rPr lang="en-US" sz="1100" baseline="0">
              <a:latin typeface="Calibri" panose="020F0502020204030204" pitchFamily="34" charset="0"/>
              <a:ea typeface="Calibri" panose="020F0502020204030204" pitchFamily="34" charset="0"/>
              <a:cs typeface="Calibri" panose="020F0502020204030204" pitchFamily="34" charset="0"/>
            </a:rPr>
            <a:t>' </a:t>
          </a:r>
          <a:r>
            <a:rPr lang="en-US" sz="1100">
              <a:latin typeface="Calibri" panose="020F0502020204030204" pitchFamily="34" charset="0"/>
              <a:ea typeface="Calibri" panose="020F0502020204030204" pitchFamily="34" charset="0"/>
              <a:cs typeface="Calibri" panose="020F0502020204030204" pitchFamily="34" charset="0"/>
            </a:rPr>
            <a:t>Total Revenue: $11,451,615.09    </a:t>
          </a:r>
        </a:p>
        <a:p>
          <a:r>
            <a:rPr lang="en-US" sz="1100">
              <a:latin typeface="Calibri" panose="020F0502020204030204" pitchFamily="34" charset="0"/>
              <a:ea typeface="Calibri" panose="020F0502020204030204" pitchFamily="34" charset="0"/>
              <a:cs typeface="Calibri" panose="020F0502020204030204" pitchFamily="34" charset="0"/>
            </a:rPr>
            <a:t>Range: January 1, 2022 - December 31, 2025 (Four fiscal years)</a:t>
          </a:r>
        </a:p>
        <a:p>
          <a:r>
            <a:rPr lang="en-US" sz="1100">
              <a:latin typeface="Calibri" panose="020F0502020204030204" pitchFamily="34" charset="0"/>
              <a:ea typeface="Calibri" panose="020F0502020204030204" pitchFamily="34" charset="0"/>
              <a:cs typeface="Calibri" panose="020F0502020204030204" pitchFamily="34" charset="0"/>
            </a:rPr>
            <a:t>Ranking #1 in the Northeast Region</a:t>
          </a:r>
          <a:r>
            <a:rPr lang="en-US" sz="1100" baseline="0">
              <a:latin typeface="Calibri" panose="020F0502020204030204" pitchFamily="34" charset="0"/>
              <a:ea typeface="Calibri" panose="020F0502020204030204" pitchFamily="34" charset="0"/>
              <a:cs typeface="Calibri" panose="020F0502020204030204" pitchFamily="34" charset="0"/>
            </a:rPr>
            <a:t> at 47.25% of total regional revenue.</a:t>
          </a:r>
        </a:p>
        <a:p>
          <a:endParaRPr lang="en-US" sz="1100" baseline="0">
            <a:latin typeface="Calibri" panose="020F0502020204030204" pitchFamily="34" charset="0"/>
            <a:ea typeface="Calibri" panose="020F0502020204030204" pitchFamily="34" charset="0"/>
            <a:cs typeface="Calibri" panose="020F0502020204030204" pitchFamily="34" charset="0"/>
          </a:endParaRPr>
        </a:p>
        <a:p>
          <a:r>
            <a:rPr lang="en-US" sz="1100" baseline="0">
              <a:latin typeface="Calibri" panose="020F0502020204030204" pitchFamily="34" charset="0"/>
              <a:ea typeface="Calibri" panose="020F0502020204030204" pitchFamily="34" charset="0"/>
              <a:cs typeface="Calibri" panose="020F0502020204030204" pitchFamily="34" charset="0"/>
            </a:rPr>
            <a:t>Revenue indicates an upward trend across all four fiscal years.</a:t>
          </a:r>
        </a:p>
        <a:p>
          <a:r>
            <a:rPr lang="en-US" sz="1100" baseline="0">
              <a:latin typeface="Calibri" panose="020F0502020204030204" pitchFamily="34" charset="0"/>
              <a:ea typeface="Calibri" panose="020F0502020204030204" pitchFamily="34" charset="0"/>
              <a:cs typeface="Calibri" panose="020F0502020204030204" pitchFamily="34" charset="0"/>
            </a:rPr>
            <a:t>Peak Month: </a:t>
          </a:r>
          <a:r>
            <a:rPr lang="en-US" sz="1100">
              <a:latin typeface="Calibri" panose="020F0502020204030204" pitchFamily="34" charset="0"/>
              <a:ea typeface="Calibri" panose="020F0502020204030204" pitchFamily="34" charset="0"/>
              <a:cs typeface="Calibri" panose="020F0502020204030204" pitchFamily="34" charset="0"/>
            </a:rPr>
            <a:t>October 2025 ($359,699.69)</a:t>
          </a:r>
        </a:p>
        <a:p>
          <a:r>
            <a:rPr lang="en-US" sz="1100">
              <a:latin typeface="Calibri" panose="020F0502020204030204" pitchFamily="34" charset="0"/>
              <a:ea typeface="Calibri" panose="020F0502020204030204" pitchFamily="34" charset="0"/>
              <a:cs typeface="Calibri" panose="020F0502020204030204" pitchFamily="34" charset="0"/>
            </a:rPr>
            <a:t>Lowest Month: September 2022 ($158,952.74)   </a:t>
          </a:r>
        </a:p>
        <a:p>
          <a:endParaRPr lang="en-US" sz="1100">
            <a:latin typeface="Calibri" panose="020F0502020204030204" pitchFamily="34" charset="0"/>
            <a:ea typeface="Calibri" panose="020F0502020204030204" pitchFamily="34" charset="0"/>
            <a:cs typeface="Calibri" panose="020F0502020204030204" pitchFamily="34" charset="0"/>
          </a:endParaRPr>
        </a:p>
        <a:p>
          <a:r>
            <a:rPr lang="en-US" sz="1100" b="1">
              <a:latin typeface="Calibri" panose="020F0502020204030204" pitchFamily="34" charset="0"/>
              <a:ea typeface="Calibri" panose="020F0502020204030204" pitchFamily="34" charset="0"/>
              <a:cs typeface="Calibri" panose="020F0502020204030204" pitchFamily="34" charset="0"/>
            </a:rPr>
            <a:t>Category</a:t>
          </a:r>
          <a:r>
            <a:rPr lang="en-US" sz="1100" b="1" baseline="0">
              <a:latin typeface="Calibri" panose="020F0502020204030204" pitchFamily="34" charset="0"/>
              <a:ea typeface="Calibri" panose="020F0502020204030204" pitchFamily="34" charset="0"/>
              <a:cs typeface="Calibri" panose="020F0502020204030204" pitchFamily="34" charset="0"/>
            </a:rPr>
            <a:t> Performance:</a:t>
          </a:r>
          <a:r>
            <a:rPr lang="en-US" sz="1100" b="1">
              <a:latin typeface="Calibri" panose="020F0502020204030204" pitchFamily="34" charset="0"/>
              <a:ea typeface="Calibri" panose="020F0502020204030204" pitchFamily="34" charset="0"/>
              <a:cs typeface="Calibri" panose="020F0502020204030204" pitchFamily="34" charset="0"/>
            </a:rPr>
            <a:t> </a:t>
          </a:r>
        </a:p>
        <a:p>
          <a:r>
            <a:rPr lang="en-US" sz="1100">
              <a:latin typeface="Calibri" panose="020F0502020204030204" pitchFamily="34" charset="0"/>
              <a:ea typeface="Calibri" panose="020F0502020204030204" pitchFamily="34" charset="0"/>
              <a:cs typeface="Calibri" panose="020F0502020204030204" pitchFamily="34" charset="0"/>
            </a:rPr>
            <a:t>Technology &amp; Accessories</a:t>
          </a:r>
          <a:r>
            <a:rPr lang="en-US" sz="1100" baseline="0">
              <a:latin typeface="Calibri" panose="020F0502020204030204" pitchFamily="34" charset="0"/>
              <a:ea typeface="Calibri" panose="020F0502020204030204" pitchFamily="34" charset="0"/>
              <a:cs typeface="Calibri" panose="020F0502020204030204" pitchFamily="34" charset="0"/>
            </a:rPr>
            <a:t> </a:t>
          </a:r>
          <a:r>
            <a:rPr lang="en-US" sz="1100">
              <a:latin typeface="Calibri" panose="020F0502020204030204" pitchFamily="34" charset="0"/>
              <a:ea typeface="Calibri" panose="020F0502020204030204" pitchFamily="34" charset="0"/>
              <a:cs typeface="Calibri" panose="020F0502020204030204" pitchFamily="34" charset="0"/>
            </a:rPr>
            <a:t>led at $5,044,301.53 (11,071</a:t>
          </a:r>
          <a:r>
            <a:rPr lang="en-US" sz="1100" baseline="0">
              <a:latin typeface="Calibri" panose="020F0502020204030204" pitchFamily="34" charset="0"/>
              <a:ea typeface="Calibri" panose="020F0502020204030204" pitchFamily="34" charset="0"/>
              <a:cs typeface="Calibri" panose="020F0502020204030204" pitchFamily="34" charset="0"/>
            </a:rPr>
            <a:t> transactions | Avg $454.26), followed by Textbooks category at $1,525,841.02 with 8,726 total transactions. Remaining categories ranged from $102k-$305k range with lower average transaction sizes ($10-$32).</a:t>
          </a:r>
        </a:p>
        <a:p>
          <a:endParaRPr lang="en-US" sz="1100" baseline="0">
            <a:latin typeface="Calibri" panose="020F0502020204030204" pitchFamily="34" charset="0"/>
            <a:ea typeface="Calibri" panose="020F0502020204030204" pitchFamily="34" charset="0"/>
            <a:cs typeface="Calibri" panose="020F0502020204030204" pitchFamily="34" charset="0"/>
          </a:endParaRPr>
        </a:p>
        <a:p>
          <a:r>
            <a:rPr lang="en-US" sz="1100" b="1" baseline="0">
              <a:latin typeface="Calibri" panose="020F0502020204030204" pitchFamily="34" charset="0"/>
              <a:ea typeface="Calibri" panose="020F0502020204030204" pitchFamily="34" charset="0"/>
              <a:cs typeface="Calibri" panose="020F0502020204030204" pitchFamily="34" charset="0"/>
            </a:rPr>
            <a:t>Store Performance:</a:t>
          </a:r>
        </a:p>
        <a:p>
          <a:r>
            <a:rPr lang="en-US" sz="1100">
              <a:latin typeface="Calibri" panose="020F0502020204030204" pitchFamily="34" charset="0"/>
              <a:ea typeface="Calibri" panose="020F0502020204030204" pitchFamily="34" charset="0"/>
              <a:cs typeface="Calibri" panose="020F0502020204030204" pitchFamily="34" charset="0"/>
            </a:rPr>
            <a:t>North Harford</a:t>
          </a:r>
          <a:r>
            <a:rPr lang="en-US" sz="1100" baseline="0">
              <a:latin typeface="Calibri" panose="020F0502020204030204" pitchFamily="34" charset="0"/>
              <a:ea typeface="Calibri" panose="020F0502020204030204" pitchFamily="34" charset="0"/>
              <a:cs typeface="Calibri" panose="020F0502020204030204" pitchFamily="34" charset="0"/>
            </a:rPr>
            <a:t> location is the top store, generating $8,708,119 across a staggering 69,530 transactions, but with the lowest overall transaction size of $125.24. Annapolis is the lowest performing store at $288,865.31, while all other stores fell within the $288k-$584K range across the four years.</a:t>
          </a:r>
        </a:p>
        <a:p>
          <a:endParaRPr lang="en-US" sz="1100" baseline="0">
            <a:latin typeface="Calibri" panose="020F0502020204030204" pitchFamily="34" charset="0"/>
            <a:ea typeface="Calibri" panose="020F0502020204030204" pitchFamily="34" charset="0"/>
            <a:cs typeface="Calibri" panose="020F0502020204030204" pitchFamily="34" charset="0"/>
          </a:endParaRPr>
        </a:p>
        <a:p>
          <a:r>
            <a:rPr lang="en-US" sz="1100" baseline="0">
              <a:latin typeface="Calibri" panose="020F0502020204030204" pitchFamily="34" charset="0"/>
              <a:ea typeface="Calibri" panose="020F0502020204030204" pitchFamily="34" charset="0"/>
              <a:cs typeface="Calibri" panose="020F0502020204030204" pitchFamily="34" charset="0"/>
            </a:rPr>
            <a:t>Top 10 performing products all belong to Technology &amp; Accessories. The</a:t>
          </a:r>
          <a:r>
            <a:rPr lang="en-US" sz="1100">
              <a:solidFill>
                <a:schemeClr val="tx1"/>
              </a:solidFill>
              <a:effectLst/>
              <a:latin typeface="Calibri" panose="020F0502020204030204" pitchFamily="34" charset="0"/>
              <a:ea typeface="Calibri" panose="020F0502020204030204" pitchFamily="34" charset="0"/>
              <a:cs typeface="Calibri" panose="020F0502020204030204" pitchFamily="34" charset="0"/>
            </a:rPr>
            <a:t> MSI Creator Z16 generated the most revenue at $306,883.80. However, the Lenovo IdeaPad Flex 5 is the highest-demand, with 194 transactions.</a:t>
          </a:r>
        </a:p>
        <a:p>
          <a:endParaRPr lang="en-US" sz="1100" baseline="0">
            <a:solidFill>
              <a:schemeClr val="tx1"/>
            </a:solidFill>
            <a:effectLst/>
            <a:latin typeface="Calibri" panose="020F0502020204030204" pitchFamily="34" charset="0"/>
            <a:ea typeface="Calibri" panose="020F0502020204030204" pitchFamily="34" charset="0"/>
            <a:cs typeface="Calibri" panose="020F0502020204030204" pitchFamily="34" charset="0"/>
          </a:endParaRPr>
        </a:p>
        <a:p>
          <a:r>
            <a:rPr lang="en-US" sz="1100" baseline="0">
              <a:latin typeface="Calibri" panose="020F0502020204030204" pitchFamily="34" charset="0"/>
              <a:ea typeface="Calibri" panose="020F0502020204030204" pitchFamily="34" charset="0"/>
              <a:cs typeface="Calibri" panose="020F0502020204030204" pitchFamily="34" charset="0"/>
            </a:rPr>
            <a:t>Tech &amp; Accessories grew +$521,971 in 2025. Textbooks declined twice, with the second time experiencing a loss of -$99,322 in 2025 after a brief recovery in 2024. </a:t>
          </a:r>
          <a:r>
            <a:rPr lang="en-US" sz="1100">
              <a:solidFill>
                <a:schemeClr val="tx1"/>
              </a:solidFill>
              <a:effectLst/>
              <a:latin typeface="Calibri" panose="020F0502020204030204" pitchFamily="34" charset="0"/>
              <a:ea typeface="Calibri" panose="020F0502020204030204" pitchFamily="34" charset="0"/>
              <a:cs typeface="Calibri" panose="020F0502020204030204" pitchFamily="34" charset="0"/>
            </a:rPr>
            <a:t>All other categories showed positive growth throughout the years.</a:t>
          </a:r>
        </a:p>
        <a:p>
          <a:endParaRPr lang="en-US" sz="1100" baseline="0">
            <a:solidFill>
              <a:schemeClr val="tx1"/>
            </a:solidFill>
            <a:effectLst/>
            <a:latin typeface="Calibri" panose="020F0502020204030204" pitchFamily="34" charset="0"/>
            <a:ea typeface="Calibri" panose="020F0502020204030204" pitchFamily="34" charset="0"/>
            <a:cs typeface="Calibri" panose="020F0502020204030204" pitchFamily="34" charset="0"/>
          </a:endParaRPr>
        </a:p>
        <a:p>
          <a:endParaRPr lang="en-US" sz="1100" baseline="0">
            <a:solidFill>
              <a:schemeClr val="tx1"/>
            </a:solidFill>
            <a:effectLst/>
            <a:latin typeface="Calibri" panose="020F0502020204030204" pitchFamily="34" charset="0"/>
            <a:ea typeface="Calibri" panose="020F0502020204030204" pitchFamily="34" charset="0"/>
            <a:cs typeface="Calibri" panose="020F0502020204030204" pitchFamily="34" charset="0"/>
          </a:endParaRPr>
        </a:p>
        <a:p>
          <a:endParaRPr lang="en-US" sz="1100" baseline="0">
            <a:solidFill>
              <a:schemeClr val="tx1"/>
            </a:solidFill>
            <a:effectLst/>
            <a:latin typeface="Calibri" panose="020F0502020204030204" pitchFamily="34" charset="0"/>
            <a:ea typeface="Calibri" panose="020F0502020204030204" pitchFamily="34" charset="0"/>
            <a:cs typeface="Calibri" panose="020F0502020204030204" pitchFamily="34" charset="0"/>
          </a:endParaRPr>
        </a:p>
        <a:p>
          <a:endParaRPr lang="en-US" sz="1100" baseline="0">
            <a:solidFill>
              <a:schemeClr val="tx1"/>
            </a:solidFill>
            <a:effectLst/>
            <a:latin typeface="Calibri" panose="020F0502020204030204" pitchFamily="34" charset="0"/>
            <a:ea typeface="Calibri" panose="020F0502020204030204" pitchFamily="34" charset="0"/>
            <a:cs typeface="Calibri" panose="020F0502020204030204" pitchFamily="34" charset="0"/>
          </a:endParaRPr>
        </a:p>
        <a:p>
          <a:endParaRPr lang="en-US" sz="1100" baseline="0">
            <a:solidFill>
              <a:schemeClr val="tx1"/>
            </a:solidFill>
            <a:effectLst/>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9</xdr:col>
      <xdr:colOff>380999</xdr:colOff>
      <xdr:row>1</xdr:row>
      <xdr:rowOff>119062</xdr:rowOff>
    </xdr:from>
    <xdr:ext cx="7134226" cy="5603585"/>
    <xdr:sp macro="" textlink="">
      <xdr:nvSpPr>
        <xdr:cNvPr id="3" name="TextBox 2">
          <a:extLst>
            <a:ext uri="{FF2B5EF4-FFF2-40B4-BE49-F238E27FC236}">
              <a16:creationId xmlns:a16="http://schemas.microsoft.com/office/drawing/2014/main" id="{F1FE5D9D-61B7-4FCF-86FE-C020DD506B50}"/>
            </a:ext>
          </a:extLst>
        </xdr:cNvPr>
        <xdr:cNvSpPr txBox="1"/>
      </xdr:nvSpPr>
      <xdr:spPr>
        <a:xfrm>
          <a:off x="6210299" y="300037"/>
          <a:ext cx="7134226" cy="5603585"/>
        </a:xfrm>
        <a:prstGeom prst="rect">
          <a:avLst/>
        </a:prstGeom>
        <a:solidFill>
          <a:schemeClr val="bg1"/>
        </a:solidFill>
        <a:ln w="12700">
          <a:solidFill>
            <a:srgbClr val="1E2235"/>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latin typeface="Calibri" panose="020F0502020204030204" pitchFamily="34" charset="0"/>
              <a:ea typeface="Calibri" panose="020F0502020204030204" pitchFamily="34" charset="0"/>
              <a:cs typeface="Calibri" panose="020F0502020204030204" pitchFamily="34" charset="0"/>
            </a:rPr>
            <a:t>Recommendations:</a:t>
          </a:r>
        </a:p>
        <a:p>
          <a:endParaRPr lang="en-US" sz="1100" b="1">
            <a:latin typeface="Calibri" panose="020F0502020204030204" pitchFamily="34" charset="0"/>
            <a:ea typeface="Calibri" panose="020F0502020204030204" pitchFamily="34" charset="0"/>
            <a:cs typeface="Calibri" panose="020F0502020204030204" pitchFamily="34" charset="0"/>
          </a:endParaRPr>
        </a:p>
        <a:p>
          <a:r>
            <a:rPr lang="en-US" sz="1100">
              <a:latin typeface="Calibri" panose="020F0502020204030204" pitchFamily="34" charset="0"/>
              <a:ea typeface="Calibri" panose="020F0502020204030204" pitchFamily="34" charset="0"/>
              <a:cs typeface="Calibri" panose="020F0502020204030204" pitchFamily="34" charset="0"/>
            </a:rPr>
            <a:t>For the next quarter, </a:t>
          </a:r>
          <a:r>
            <a:rPr lang="en-US" sz="1100" b="1" i="1">
              <a:latin typeface="Calibri" panose="020F0502020204030204" pitchFamily="34" charset="0"/>
              <a:ea typeface="Calibri" panose="020F0502020204030204" pitchFamily="34" charset="0"/>
              <a:cs typeface="Calibri" panose="020F0502020204030204" pitchFamily="34" charset="0"/>
            </a:rPr>
            <a:t>Technology</a:t>
          </a:r>
          <a:r>
            <a:rPr lang="en-US" sz="1100" b="1" i="1" baseline="0">
              <a:latin typeface="Calibri" panose="020F0502020204030204" pitchFamily="34" charset="0"/>
              <a:ea typeface="Calibri" panose="020F0502020204030204" pitchFamily="34" charset="0"/>
              <a:cs typeface="Calibri" panose="020F0502020204030204" pitchFamily="34" charset="0"/>
            </a:rPr>
            <a:t> &amp; Accessories </a:t>
          </a:r>
          <a:r>
            <a:rPr lang="en-US" sz="1100" baseline="0">
              <a:latin typeface="Calibri" panose="020F0502020204030204" pitchFamily="34" charset="0"/>
              <a:ea typeface="Calibri" panose="020F0502020204030204" pitchFamily="34" charset="0"/>
              <a:cs typeface="Calibri" panose="020F0502020204030204" pitchFamily="34" charset="0"/>
            </a:rPr>
            <a:t>should be Manager Reddy's priority investment leading at $5M with a consistent year-over-year growth. In 2025 alone, this category saw a spike of $521,971 with an average transaction size of $454, indicating strong customer willingness to spend on premium products. To leverage this, I strongly suggest introducing bundling promotions for products that bring in the most revenue overall, but with lower transaction counts such as the MSI Creator Z16 to help raise counts. More pricing analysis on highest-demand products like the Lenovo IdeaPad Flex is recommended before making any pricing adjustments to avoid disrupting current demand.</a:t>
          </a:r>
        </a:p>
        <a:p>
          <a:endParaRPr lang="en-US" sz="1100" baseline="0">
            <a:latin typeface="Calibri" panose="020F0502020204030204" pitchFamily="34" charset="0"/>
            <a:ea typeface="Calibri" panose="020F0502020204030204" pitchFamily="34" charset="0"/>
            <a:cs typeface="Calibri" panose="020F0502020204030204" pitchFamily="34" charset="0"/>
          </a:endParaRPr>
        </a:p>
        <a:p>
          <a:r>
            <a:rPr lang="en-US" sz="1100" baseline="0">
              <a:latin typeface="Calibri" panose="020F0502020204030204" pitchFamily="34" charset="0"/>
              <a:ea typeface="Calibri" panose="020F0502020204030204" pitchFamily="34" charset="0"/>
              <a:cs typeface="Calibri" panose="020F0502020204030204" pitchFamily="34" charset="0"/>
            </a:rPr>
            <a:t>Another category with potential worth exploring </a:t>
          </a:r>
          <a:r>
            <a:rPr lang="en-US" sz="1100" b="1" i="1" baseline="0">
              <a:latin typeface="Calibri" panose="020F0502020204030204" pitchFamily="34" charset="0"/>
              <a:ea typeface="Calibri" panose="020F0502020204030204" pitchFamily="34" charset="0"/>
              <a:cs typeface="Calibri" panose="020F0502020204030204" pitchFamily="34" charset="0"/>
            </a:rPr>
            <a:t>is Stationery &amp; Supplies</a:t>
          </a:r>
          <a:r>
            <a:rPr lang="en-US" sz="1100" baseline="0">
              <a:latin typeface="Calibri" panose="020F0502020204030204" pitchFamily="34" charset="0"/>
              <a:ea typeface="Calibri" panose="020F0502020204030204" pitchFamily="34" charset="0"/>
              <a:cs typeface="Calibri" panose="020F0502020204030204" pitchFamily="34" charset="0"/>
            </a:rPr>
            <a:t>. While revenue sits at only $102, 807, it is the top 2 in transaction volume with 9,862 transactions  and an average of $10 per transaction. This suggests that customer demand is there, but they are spending minimally for this category. I recommend bundling products in this category with similar categories such as Books (</a:t>
          </a:r>
          <a:r>
            <a:rPr lang="en-US" sz="1100"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General) or Art Supplies to target a student consumer base as a back-to-school or premium studying bundle. This can improve average transaction size across all three categories, and therefore revenue across the board.</a:t>
          </a:r>
        </a:p>
        <a:p>
          <a:endParaRPr lang="en-US" sz="1100" baseline="0">
            <a:solidFill>
              <a:schemeClr val="tx1"/>
            </a:solidFill>
            <a:effectLst/>
            <a:latin typeface="Calibri" panose="020F0502020204030204" pitchFamily="34" charset="0"/>
            <a:ea typeface="Calibri" panose="020F0502020204030204" pitchFamily="34" charset="0"/>
            <a:cs typeface="Calibri" panose="020F0502020204030204" pitchFamily="34" charset="0"/>
          </a:endParaRPr>
        </a:p>
        <a:p>
          <a:r>
            <a:rPr lang="en-US" sz="1100"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Reddy should manage the associated risks that the </a:t>
          </a:r>
          <a:r>
            <a:rPr lang="en-US" sz="1100" b="1" i="1"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Textbook</a:t>
          </a:r>
          <a:r>
            <a:rPr lang="en-US" sz="1100"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 category is showing. Although the category brings in the second highest revenue at $1.5M, data shows an overall decline. Over four years, year-over-year revenue has declined twice, once in 2023 and again in 2025. Although 2024 saw a small recovery of $1,491, it was overshadowed by a deeper decline of $99,322 the following year. Instead of eliminating the category entirely, I recommend shifting to demand-based stocking or exploring a consolidation with the </a:t>
          </a:r>
          <a:r>
            <a:rPr lang="en-US" sz="1100">
              <a:latin typeface="Calibri" panose="020F0502020204030204" pitchFamily="34" charset="0"/>
              <a:ea typeface="Calibri" panose="020F0502020204030204" pitchFamily="34" charset="0"/>
              <a:cs typeface="Calibri" panose="020F0502020204030204" pitchFamily="34" charset="0"/>
            </a:rPr>
            <a:t>Books (General) category to reduce inventory risk while maintaining EmporiUm's</a:t>
          </a:r>
          <a:r>
            <a:rPr lang="en-US" sz="1100" baseline="0">
              <a:latin typeface="Calibri" panose="020F0502020204030204" pitchFamily="34" charset="0"/>
              <a:ea typeface="Calibri" panose="020F0502020204030204" pitchFamily="34" charset="0"/>
              <a:cs typeface="Calibri" panose="020F0502020204030204" pitchFamily="34" charset="0"/>
            </a:rPr>
            <a:t> student customers. </a:t>
          </a:r>
          <a:endParaRPr lang="en-US" sz="1100">
            <a:latin typeface="Calibri" panose="020F0502020204030204" pitchFamily="34" charset="0"/>
            <a:ea typeface="Calibri" panose="020F0502020204030204" pitchFamily="34" charset="0"/>
            <a:cs typeface="Calibri" panose="020F0502020204030204" pitchFamily="34" charset="0"/>
          </a:endParaRPr>
        </a:p>
        <a:p>
          <a:endParaRPr lang="en-US" sz="1100">
            <a:latin typeface="Calibri" panose="020F0502020204030204" pitchFamily="34" charset="0"/>
            <a:ea typeface="Calibri" panose="020F0502020204030204" pitchFamily="34" charset="0"/>
            <a:cs typeface="Calibri" panose="020F0502020204030204" pitchFamily="34" charset="0"/>
          </a:endParaRPr>
        </a:p>
        <a:p>
          <a:r>
            <a:rPr lang="en-US" sz="1100">
              <a:latin typeface="Calibri" panose="020F0502020204030204" pitchFamily="34" charset="0"/>
              <a:ea typeface="Calibri" panose="020F0502020204030204" pitchFamily="34" charset="0"/>
              <a:cs typeface="Calibri" panose="020F0502020204030204" pitchFamily="34" charset="0"/>
            </a:rPr>
            <a:t>Management should prioritize </a:t>
          </a:r>
          <a:r>
            <a:rPr lang="en-US" sz="1100" baseline="0">
              <a:latin typeface="Calibri" panose="020F0502020204030204" pitchFamily="34" charset="0"/>
              <a:ea typeface="Calibri" panose="020F0502020204030204" pitchFamily="34" charset="0"/>
              <a:cs typeface="Calibri" panose="020F0502020204030204" pitchFamily="34" charset="0"/>
            </a:rPr>
            <a:t>closing the performance gap across stores in Maryland. North Harford drives $8.7M of Maryland's total revenue, driven by transaction count rather than average transaction size. Harford is a significant outlier, with most stores falling </a:t>
          </a:r>
          <a:r>
            <a:rPr lang="en-US" sz="1100">
              <a:solidFill>
                <a:schemeClr val="tx1"/>
              </a:solidFill>
              <a:effectLst/>
              <a:latin typeface="Calibri" panose="020F0502020204030204" pitchFamily="34" charset="0"/>
              <a:ea typeface="Calibri" panose="020F0502020204030204" pitchFamily="34" charset="0"/>
              <a:cs typeface="Calibri" panose="020F0502020204030204" pitchFamily="34" charset="0"/>
            </a:rPr>
            <a:t>within the $288k to $320k range, and Germantown as </a:t>
          </a:r>
          <a:r>
            <a:rPr lang="en-US" sz="1100"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a</a:t>
          </a:r>
          <a:r>
            <a:rPr lang="en-US" sz="1100">
              <a:solidFill>
                <a:schemeClr val="tx1"/>
              </a:solidFill>
              <a:effectLst/>
              <a:latin typeface="Calibri" panose="020F0502020204030204" pitchFamily="34" charset="0"/>
              <a:ea typeface="Calibri" panose="020F0502020204030204" pitchFamily="34" charset="0"/>
              <a:cs typeface="Calibri" panose="020F0502020204030204" pitchFamily="34" charset="0"/>
            </a:rPr>
            <a:t> secondary outlier at $584,676. Annapolis is the</a:t>
          </a:r>
          <a:r>
            <a:rPr lang="en-US" sz="1100"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 lowest performer. I recommend management investigate Harford's sales tactics or other factors that contribute to its disproportionate success and implement findings across the territory. Mid-tier</a:t>
          </a:r>
          <a:r>
            <a:rPr lang="en-US" sz="1100">
              <a:latin typeface="Calibri" panose="020F0502020204030204" pitchFamily="34" charset="0"/>
              <a:ea typeface="Calibri" panose="020F0502020204030204" pitchFamily="34" charset="0"/>
              <a:cs typeface="Calibri" panose="020F0502020204030204" pitchFamily="34" charset="0"/>
            </a:rPr>
            <a:t> stores may benefit most from</a:t>
          </a:r>
          <a:r>
            <a:rPr lang="en-US" sz="1100" baseline="0">
              <a:latin typeface="Calibri" panose="020F0502020204030204" pitchFamily="34" charset="0"/>
              <a:ea typeface="Calibri" panose="020F0502020204030204" pitchFamily="34" charset="0"/>
              <a:cs typeface="Calibri" panose="020F0502020204030204" pitchFamily="34" charset="0"/>
            </a:rPr>
            <a:t> </a:t>
          </a:r>
          <a:r>
            <a:rPr lang="en-US" sz="1100">
              <a:latin typeface="Calibri" panose="020F0502020204030204" pitchFamily="34" charset="0"/>
              <a:ea typeface="Calibri" panose="020F0502020204030204" pitchFamily="34" charset="0"/>
              <a:cs typeface="Calibri" panose="020F0502020204030204" pitchFamily="34" charset="0"/>
            </a:rPr>
            <a:t>bundle promotions and targeted local marketing campaigns. For Annapolis, a dual improvement plan should be implemented targeting improved staff training and seasonal promotions to drive foot traffic, while also conducting further research into external</a:t>
          </a:r>
          <a:r>
            <a:rPr lang="en-US" sz="1100" baseline="0">
              <a:latin typeface="Calibri" panose="020F0502020204030204" pitchFamily="34" charset="0"/>
              <a:ea typeface="Calibri" panose="020F0502020204030204" pitchFamily="34" charset="0"/>
              <a:cs typeface="Calibri" panose="020F0502020204030204" pitchFamily="34" charset="0"/>
            </a:rPr>
            <a:t> limiting factors outside of management's control such as location or city population.</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7</xdr:col>
      <xdr:colOff>0</xdr:colOff>
      <xdr:row>47</xdr:row>
      <xdr:rowOff>0</xdr:rowOff>
    </xdr:from>
    <xdr:to>
      <xdr:col>14</xdr:col>
      <xdr:colOff>25280</xdr:colOff>
      <xdr:row>62</xdr:row>
      <xdr:rowOff>26650</xdr:rowOff>
    </xdr:to>
    <xdr:graphicFrame macro="">
      <xdr:nvGraphicFramePr>
        <xdr:cNvPr id="2" name="Chart 1">
          <a:extLst>
            <a:ext uri="{FF2B5EF4-FFF2-40B4-BE49-F238E27FC236}">
              <a16:creationId xmlns:a16="http://schemas.microsoft.com/office/drawing/2014/main" id="{26EF08CE-E284-4849-939D-8EC101207F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152400</xdr:colOff>
      <xdr:row>47</xdr:row>
      <xdr:rowOff>152400</xdr:rowOff>
    </xdr:from>
    <xdr:to>
      <xdr:col>14</xdr:col>
      <xdr:colOff>177680</xdr:colOff>
      <xdr:row>62</xdr:row>
      <xdr:rowOff>179050</xdr:rowOff>
    </xdr:to>
    <xdr:graphicFrame macro="">
      <xdr:nvGraphicFramePr>
        <xdr:cNvPr id="3" name="Chart 2">
          <a:extLst>
            <a:ext uri="{FF2B5EF4-FFF2-40B4-BE49-F238E27FC236}">
              <a16:creationId xmlns:a16="http://schemas.microsoft.com/office/drawing/2014/main" id="{F0CBA47A-5661-46C7-A846-7407C19B9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238125</xdr:colOff>
      <xdr:row>1</xdr:row>
      <xdr:rowOff>100013</xdr:rowOff>
    </xdr:from>
    <xdr:to>
      <xdr:col>12</xdr:col>
      <xdr:colOff>263405</xdr:colOff>
      <xdr:row>16</xdr:row>
      <xdr:rowOff>126663</xdr:rowOff>
    </xdr:to>
    <xdr:graphicFrame macro="">
      <xdr:nvGraphicFramePr>
        <xdr:cNvPr id="4" name="Chart 3">
          <a:extLst>
            <a:ext uri="{FF2B5EF4-FFF2-40B4-BE49-F238E27FC236}">
              <a16:creationId xmlns:a16="http://schemas.microsoft.com/office/drawing/2014/main" id="{BA240191-6FF4-4792-B43D-1EE311B10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638175</xdr:colOff>
      <xdr:row>20</xdr:row>
      <xdr:rowOff>4763</xdr:rowOff>
    </xdr:from>
    <xdr:to>
      <xdr:col>9</xdr:col>
      <xdr:colOff>375789</xdr:colOff>
      <xdr:row>40</xdr:row>
      <xdr:rowOff>159675</xdr:rowOff>
    </xdr:to>
    <xdr:graphicFrame macro="">
      <xdr:nvGraphicFramePr>
        <xdr:cNvPr id="2" name="Chart 2">
          <a:extLst>
            <a:ext uri="{FF2B5EF4-FFF2-40B4-BE49-F238E27FC236}">
              <a16:creationId xmlns:a16="http://schemas.microsoft.com/office/drawing/2014/main" id="{229F515A-601D-4E62-8246-18E25631F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166934</xdr:colOff>
      <xdr:row>11</xdr:row>
      <xdr:rowOff>9819</xdr:rowOff>
    </xdr:from>
    <xdr:to>
      <xdr:col>6</xdr:col>
      <xdr:colOff>535349</xdr:colOff>
      <xdr:row>31</xdr:row>
      <xdr:rowOff>151091</xdr:rowOff>
    </xdr:to>
    <xdr:graphicFrame macro="">
      <xdr:nvGraphicFramePr>
        <xdr:cNvPr id="2" name="Chart 12">
          <a:extLst>
            <a:ext uri="{FF2B5EF4-FFF2-40B4-BE49-F238E27FC236}">
              <a16:creationId xmlns:a16="http://schemas.microsoft.com/office/drawing/2014/main" id="{28F6E6BF-5A88-49CC-903E-DAD36401F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0.56244</cdr:x>
      <cdr:y>0.49671</cdr:y>
    </cdr:from>
    <cdr:to>
      <cdr:x>0.75151</cdr:x>
      <cdr:y>0.71369</cdr:y>
    </cdr:to>
    <cdr:sp macro="" textlink="">
      <cdr:nvSpPr>
        <cdr:cNvPr id="2" name="TextBox 1">
          <a:extLst xmlns:a="http://schemas.openxmlformats.org/drawingml/2006/main">
            <a:ext uri="{FF2B5EF4-FFF2-40B4-BE49-F238E27FC236}">
              <a16:creationId xmlns:a16="http://schemas.microsoft.com/office/drawing/2014/main" id="{DA062FB1-C6AA-4C0E-872B-B1BB91BAD054}"/>
            </a:ext>
          </a:extLst>
        </cdr:cNvPr>
        <cdr:cNvSpPr txBox="1"/>
      </cdr:nvSpPr>
      <cdr:spPr>
        <a:xfrm xmlns:a="http://schemas.openxmlformats.org/drawingml/2006/main">
          <a:off x="2720026" y="2093339"/>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100" b="1" kern="1200">
              <a:solidFill>
                <a:schemeClr val="bg1"/>
              </a:solidFill>
              <a:latin typeface="Calibri" panose="020F0502020204030204" pitchFamily="34" charset="0"/>
              <a:ea typeface="Calibri" panose="020F0502020204030204" pitchFamily="34" charset="0"/>
              <a:cs typeface="Calibri" panose="020F0502020204030204" pitchFamily="34" charset="0"/>
            </a:rPr>
            <a:t># 1</a:t>
          </a:r>
        </a:p>
        <a:p xmlns:a="http://schemas.openxmlformats.org/drawingml/2006/main">
          <a:pPr algn="ctr"/>
          <a:r>
            <a:rPr lang="en-US" sz="1100" b="1" kern="1200">
              <a:solidFill>
                <a:schemeClr val="bg1"/>
              </a:solidFill>
              <a:latin typeface="Calibri" panose="020F0502020204030204" pitchFamily="34" charset="0"/>
              <a:ea typeface="Calibri" panose="020F0502020204030204" pitchFamily="34" charset="0"/>
              <a:cs typeface="Calibri" panose="020F0502020204030204" pitchFamily="34" charset="0"/>
            </a:rPr>
            <a:t>76%</a:t>
          </a:r>
        </a:p>
        <a:p xmlns:a="http://schemas.openxmlformats.org/drawingml/2006/main">
          <a:pPr algn="ctr"/>
          <a:r>
            <a:rPr lang="en-US" sz="1100" b="1" kern="1200">
              <a:solidFill>
                <a:schemeClr val="bg1"/>
              </a:solidFill>
              <a:latin typeface="Calibri" panose="020F0502020204030204" pitchFamily="34" charset="0"/>
              <a:ea typeface="Calibri" panose="020F0502020204030204" pitchFamily="34" charset="0"/>
              <a:cs typeface="Calibri" panose="020F0502020204030204" pitchFamily="34" charset="0"/>
            </a:rPr>
            <a:t>69,530</a:t>
          </a:r>
          <a:r>
            <a:rPr lang="en-US" sz="1100" b="1" kern="1200" baseline="0">
              <a:solidFill>
                <a:schemeClr val="bg1"/>
              </a:solidFill>
              <a:latin typeface="Calibri" panose="020F0502020204030204" pitchFamily="34" charset="0"/>
              <a:ea typeface="Calibri" panose="020F0502020204030204" pitchFamily="34" charset="0"/>
              <a:cs typeface="Calibri" panose="020F0502020204030204" pitchFamily="34" charset="0"/>
            </a:rPr>
            <a:t> Transactions</a:t>
          </a:r>
          <a:endParaRPr lang="en-US" sz="1100" b="1" kern="1200">
            <a:solidFill>
              <a:schemeClr val="bg1"/>
            </a:solidFill>
            <a:latin typeface="Calibri" panose="020F0502020204030204" pitchFamily="34" charset="0"/>
            <a:ea typeface="Calibri" panose="020F0502020204030204" pitchFamily="34" charset="0"/>
            <a:cs typeface="Calibri" panose="020F0502020204030204" pitchFamily="34" charset="0"/>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3</xdr:col>
      <xdr:colOff>119063</xdr:colOff>
      <xdr:row>11</xdr:row>
      <xdr:rowOff>90487</xdr:rowOff>
    </xdr:from>
    <xdr:to>
      <xdr:col>11</xdr:col>
      <xdr:colOff>423863</xdr:colOff>
      <xdr:row>33</xdr:row>
      <xdr:rowOff>0</xdr:rowOff>
    </xdr:to>
    <xdr:graphicFrame macro="">
      <xdr:nvGraphicFramePr>
        <xdr:cNvPr id="2" name="Chart 3">
          <a:extLst>
            <a:ext uri="{FF2B5EF4-FFF2-40B4-BE49-F238E27FC236}">
              <a16:creationId xmlns:a16="http://schemas.microsoft.com/office/drawing/2014/main" id="{896B2EAE-2DF4-4CCD-8A55-D612CF371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71437</xdr:colOff>
      <xdr:row>8</xdr:row>
      <xdr:rowOff>147638</xdr:rowOff>
    </xdr:from>
    <xdr:to>
      <xdr:col>9</xdr:col>
      <xdr:colOff>974583</xdr:colOff>
      <xdr:row>23</xdr:row>
      <xdr:rowOff>174288</xdr:rowOff>
    </xdr:to>
    <xdr:graphicFrame macro="">
      <xdr:nvGraphicFramePr>
        <xdr:cNvPr id="3" name="Chart 1">
          <a:extLst>
            <a:ext uri="{FF2B5EF4-FFF2-40B4-BE49-F238E27FC236}">
              <a16:creationId xmlns:a16="http://schemas.microsoft.com/office/drawing/2014/main" id="{93EE99CF-0CE4-45AE-B9CB-102407D9B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leen Guerro" refreshedDate="46141.44927326389" createdVersion="8" refreshedVersion="8" minRefreshableVersion="3" recordCount="200" xr:uid="{B1FB3F74-7861-4279-B6FD-A9E738D5AB12}">
  <cacheSource type="worksheet">
    <worksheetSource name="q4_Maryland_Caetegory_Analysis"/>
  </cacheSource>
  <cacheFields count="5">
    <cacheField name="Revenue_Month" numFmtId="14">
      <sharedItems containsSemiMixedTypes="0" containsNonDate="0" containsDate="1" containsString="0" minDate="2022-01-01T00:00:00" maxDate="2024-10-02T00:00:00"/>
    </cacheField>
    <cacheField name="Product_Category" numFmtId="0">
      <sharedItems count="6">
        <s v="Technology &amp; Accessories"/>
        <s v="Textbooks"/>
        <s v="Books (General)"/>
        <s v="Apparel and Merchandise"/>
        <s v="Art Supplies"/>
        <s v="Stationery and Supplies"/>
      </sharedItems>
    </cacheField>
    <cacheField name="Transaction_Count" numFmtId="0">
      <sharedItems containsSemiMixedTypes="0" containsString="0" containsNumber="1" containsInteger="1" minValue="171" maxValue="393"/>
    </cacheField>
    <cacheField name="Average_Transaction_Size" numFmtId="0">
      <sharedItems containsSemiMixedTypes="0" containsString="0" containsNumber="1" minValue="9.4499999999999993" maxValue="516.63"/>
    </cacheField>
    <cacheField name="Category_Revenue" numFmtId="8">
      <sharedItems containsSemiMixedTypes="0" containsString="0" containsNumber="1" minValue="2362.0300000000002" maxValue="193104.5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leen Guerro" refreshedDate="46141.796509259257" createdVersion="8" refreshedVersion="8" minRefreshableVersion="3" recordCount="48" xr:uid="{1014D5BD-243D-4EEE-9C23-0B58ADEC8630}">
  <cacheSource type="worksheet">
    <worksheetSource name="q2_Maryland_Monthly_Revenue"/>
  </cacheSource>
  <cacheFields count="5">
    <cacheField name="Revenue_Month" numFmtId="165">
      <sharedItems containsSemiMixedTypes="0" containsNonDate="0" containsDate="1" containsString="0" minDate="2022-01-01T00:00:00" maxDate="2025-12-02T00:00:00" count="48">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sharedItems>
      <fieldGroup par="4"/>
    </cacheField>
    <cacheField name="Monthly_Revenue" numFmtId="164">
      <sharedItems containsSemiMixedTypes="0" containsString="0" containsNumber="1" minValue="158952.74" maxValue="359699.69"/>
    </cacheField>
    <cacheField name="Months (Revenue_Month)" numFmtId="0" databaseField="0">
      <fieldGroup base="0">
        <rangePr groupBy="months" startDate="2022-01-01T00:00:00" endDate="2025-12-02T00:00:00"/>
        <groupItems count="14">
          <s v="&lt;1/1/2022"/>
          <s v="Jan"/>
          <s v="Feb"/>
          <s v="Mar"/>
          <s v="Apr"/>
          <s v="May"/>
          <s v="Jun"/>
          <s v="Jul"/>
          <s v="Aug"/>
          <s v="Sep"/>
          <s v="Oct"/>
          <s v="Nov"/>
          <s v="Dec"/>
          <s v="&gt;12/2/2025"/>
        </groupItems>
      </fieldGroup>
    </cacheField>
    <cacheField name="Quarters (Revenue_Month)" numFmtId="0" databaseField="0">
      <fieldGroup base="0">
        <rangePr groupBy="quarters" startDate="2022-01-01T00:00:00" endDate="2025-12-02T00:00:00"/>
        <groupItems count="6">
          <s v="&lt;1/1/2022"/>
          <s v="Qtr1"/>
          <s v="Qtr2"/>
          <s v="Qtr3"/>
          <s v="Qtr4"/>
          <s v="&gt;12/2/2025"/>
        </groupItems>
      </fieldGroup>
    </cacheField>
    <cacheField name="Years (Revenue_Month)" numFmtId="0" databaseField="0">
      <fieldGroup base="0">
        <rangePr groupBy="years" startDate="2022-01-01T00:00:00" endDate="2025-12-02T00:00:00"/>
        <groupItems count="6">
          <s v="&lt;1/1/2022"/>
          <s v="2022"/>
          <s v="2023"/>
          <s v="2024"/>
          <s v="2025"/>
          <s v="&gt;12/2/2025"/>
        </groupItems>
      </fieldGroup>
    </cacheField>
  </cacheFields>
  <extLst>
    <ext xmlns:x14="http://schemas.microsoft.com/office/spreadsheetml/2009/9/main" uri="{725AE2AE-9491-48be-B2B4-4EB974FC3084}">
      <x14:pivotCacheDefinition pivotCacheId="172047454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leen Guerro" refreshedDate="46141.868178935183" createdVersion="8" refreshedVersion="8" minRefreshableVersion="3" recordCount="10" xr:uid="{7CF0EAF0-BD06-4737-B1E1-9D72E11C88B1}">
  <cacheSource type="worksheet">
    <worksheetSource name="q6a_Maryland_Top_Products"/>
  </cacheSource>
  <cacheFields count="5">
    <cacheField name="ProdNum" numFmtId="0">
      <sharedItems/>
    </cacheField>
    <cacheField name="Product" numFmtId="0">
      <sharedItems count="10">
        <s v="MSI Creator Z16"/>
        <s v="Apple MacBook Air (M2, 13-inch)"/>
        <s v="Apple MacBook Pro (M2, 14-inch)"/>
        <s v="Lenovo IdeaPad Flex 5"/>
        <s v="LG Gram 17"/>
        <s v="Samsung Galaxy Book Pro"/>
        <s v="Lenovo ThinkPad X1 Carbon"/>
        <s v="ASUS VivoBook S15"/>
        <s v="HP Spectre x360"/>
        <s v="Dell Inspiron 15"/>
      </sharedItems>
    </cacheField>
    <cacheField name="Product_Category" numFmtId="0">
      <sharedItems/>
    </cacheField>
    <cacheField name="Total_Revenue" numFmtId="164">
      <sharedItems containsSemiMixedTypes="0" containsString="0" containsNumber="1" minValue="205561.2" maxValue="306883.8"/>
    </cacheField>
    <cacheField name="Transaction_Count" numFmtId="0">
      <sharedItems containsSemiMixedTypes="0" containsString="0" containsNumber="1" containsInteger="1" minValue="150" maxValue="19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leen Guerro" refreshedDate="46141.880615509261" createdVersion="8" refreshedVersion="8" minRefreshableVersion="3" recordCount="24" xr:uid="{362BE139-7694-49D4-BF96-FBF2F1780E99}">
  <cacheSource type="worksheet">
    <worksheetSource name="q6b_Maryland_Category_Revenue_Trend__2"/>
  </cacheSource>
  <cacheFields count="5">
    <cacheField name="Year" numFmtId="0">
      <sharedItems containsSemiMixedTypes="0" containsString="0" containsNumber="1" containsInteger="1" minValue="2022" maxValue="2025" count="4">
        <n v="2022"/>
        <n v="2023"/>
        <n v="2024"/>
        <n v="2025"/>
      </sharedItems>
    </cacheField>
    <cacheField name="Product_Category" numFmtId="0">
      <sharedItems count="6">
        <s v="Apparel and Merchandise"/>
        <s v="Art Supplies"/>
        <s v="Books (General)"/>
        <s v="Stationery and Supplies"/>
        <s v="Technology &amp; Accessories"/>
        <s v="Textbooks"/>
      </sharedItems>
    </cacheField>
    <cacheField name="Annual_Revenue" numFmtId="164">
      <sharedItems containsSemiMixedTypes="0" containsString="0" containsNumber="1" minValue="32269.45" maxValue="2454843.7999999998"/>
    </cacheField>
    <cacheField name="Previous_Year_Revenue" numFmtId="164">
      <sharedItems containsString="0" containsBlank="1" containsNumber="1" minValue="32269.45" maxValue="1932871.91"/>
    </cacheField>
    <cacheField name="Revenue_Change" numFmtId="2">
      <sharedItems containsString="0" containsBlank="1" containsNumber="1" minValue="-99322.7" maxValue="521971.89"/>
    </cacheField>
  </cacheFields>
  <extLst>
    <ext xmlns:x14="http://schemas.microsoft.com/office/spreadsheetml/2009/9/main" uri="{725AE2AE-9491-48be-B2B4-4EB974FC3084}">
      <x14:pivotCacheDefinition pivotCacheId="1923160859"/>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leen Guerro" refreshedDate="46141.898623958332" createdVersion="8" refreshedVersion="8" minRefreshableVersion="3" recordCount="9" xr:uid="{6079496C-8379-4A35-8D79-FDB13FE0B0CB}">
  <cacheSource type="worksheet">
    <worksheetSource name="q5_Maryland_Stores_Performance"/>
  </cacheSource>
  <cacheFields count="6">
    <cacheField name="Store_ID" numFmtId="0">
      <sharedItems containsSemiMixedTypes="0" containsString="0" containsNumber="1" containsInteger="1" minValue="731" maxValue="739"/>
    </cacheField>
    <cacheField name="Store_City" numFmtId="0">
      <sharedItems count="9">
        <s v="North Harford"/>
        <s v="Germantown"/>
        <s v="Parkville"/>
        <s v="Howard"/>
        <s v="Ridgely"/>
        <s v="Baltimore"/>
        <s v="Back River"/>
        <s v="Queen Anne's County"/>
        <s v="Annapolis"/>
      </sharedItems>
    </cacheField>
    <cacheField name="Total_Revenue" numFmtId="164">
      <sharedItems containsSemiMixedTypes="0" containsString="0" containsNumber="1" minValue="288865.31" maxValue="8708119"/>
    </cacheField>
    <cacheField name="Transaction_Count" numFmtId="0">
      <sharedItems containsSemiMixedTypes="0" containsString="0" containsNumber="1" containsInteger="1" minValue="2181" maxValue="69530"/>
    </cacheField>
    <cacheField name="Average_Transaction_Size" numFmtId="164">
      <sharedItems containsSemiMixedTypes="0" containsString="0" containsNumber="1" minValue="125.24" maxValue="146.44"/>
    </cacheField>
    <cacheField name="Store_Rank" numFmtId="0">
      <sharedItems containsSemiMixedTypes="0" containsString="0" containsNumber="1" containsInteger="1" minValue="1" maxValue="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d v="2022-01-01T00:00:00"/>
    <x v="0"/>
    <n v="287"/>
    <n v="406.78"/>
    <n v="116744.81"/>
  </r>
  <r>
    <d v="2022-01-01T00:00:00"/>
    <x v="1"/>
    <n v="246"/>
    <n v="177.25"/>
    <n v="43602.82"/>
  </r>
  <r>
    <d v="2022-01-01T00:00:00"/>
    <x v="2"/>
    <n v="295"/>
    <n v="36.29"/>
    <n v="10705.31"/>
  </r>
  <r>
    <d v="2022-01-01T00:00:00"/>
    <x v="3"/>
    <n v="260"/>
    <n v="32"/>
    <n v="8321.14"/>
  </r>
  <r>
    <d v="2022-01-01T00:00:00"/>
    <x v="4"/>
    <n v="263"/>
    <n v="30.9"/>
    <n v="8125.76"/>
  </r>
  <r>
    <d v="2022-01-01T00:00:00"/>
    <x v="5"/>
    <n v="247"/>
    <n v="10.38"/>
    <n v="2565.06"/>
  </r>
  <r>
    <d v="2022-02-01T00:00:00"/>
    <x v="0"/>
    <n v="287"/>
    <n v="466.12"/>
    <n v="133775.12"/>
  </r>
  <r>
    <d v="2022-02-01T00:00:00"/>
    <x v="1"/>
    <n v="220"/>
    <n v="176.03"/>
    <n v="38726.959999999999"/>
  </r>
  <r>
    <d v="2022-02-01T00:00:00"/>
    <x v="2"/>
    <n v="281"/>
    <n v="30.81"/>
    <n v="8658.81"/>
  </r>
  <r>
    <d v="2022-02-01T00:00:00"/>
    <x v="4"/>
    <n v="229"/>
    <n v="31.05"/>
    <n v="7111.45"/>
  </r>
  <r>
    <d v="2022-02-01T00:00:00"/>
    <x v="3"/>
    <n v="210"/>
    <n v="31.3"/>
    <n v="6572.25"/>
  </r>
  <r>
    <d v="2022-02-01T00:00:00"/>
    <x v="5"/>
    <n v="246"/>
    <n v="10.91"/>
    <n v="2684.59"/>
  </r>
  <r>
    <d v="2022-03-01T00:00:00"/>
    <x v="0"/>
    <n v="319"/>
    <n v="434.93"/>
    <n v="138741.9"/>
  </r>
  <r>
    <d v="2022-03-01T00:00:00"/>
    <x v="1"/>
    <n v="255"/>
    <n v="179.6"/>
    <n v="45798.15"/>
  </r>
  <r>
    <d v="2022-03-01T00:00:00"/>
    <x v="3"/>
    <n v="247"/>
    <n v="33.79"/>
    <n v="8345.17"/>
  </r>
  <r>
    <d v="2022-03-01T00:00:00"/>
    <x v="2"/>
    <n v="235"/>
    <n v="32.03"/>
    <n v="7527.35"/>
  </r>
  <r>
    <d v="2022-03-01T00:00:00"/>
    <x v="4"/>
    <n v="232"/>
    <n v="31.24"/>
    <n v="7247.35"/>
  </r>
  <r>
    <d v="2022-03-01T00:00:00"/>
    <x v="5"/>
    <n v="243"/>
    <n v="10.57"/>
    <n v="2568.56"/>
  </r>
  <r>
    <d v="2022-04-01T00:00:00"/>
    <x v="0"/>
    <n v="271"/>
    <n v="387.06"/>
    <n v="104893.91"/>
  </r>
  <r>
    <d v="2022-04-01T00:00:00"/>
    <x v="1"/>
    <n v="287"/>
    <n v="176.49"/>
    <n v="50652.97"/>
  </r>
  <r>
    <d v="2022-04-01T00:00:00"/>
    <x v="3"/>
    <n v="221"/>
    <n v="31.82"/>
    <n v="7032.77"/>
  </r>
  <r>
    <d v="2022-04-01T00:00:00"/>
    <x v="2"/>
    <n v="242"/>
    <n v="28.34"/>
    <n v="6859.03"/>
  </r>
  <r>
    <d v="2022-04-01T00:00:00"/>
    <x v="4"/>
    <n v="226"/>
    <n v="30.27"/>
    <n v="6841.63"/>
  </r>
  <r>
    <d v="2022-04-01T00:00:00"/>
    <x v="5"/>
    <n v="247"/>
    <n v="11.03"/>
    <n v="2723.87"/>
  </r>
  <r>
    <d v="2022-05-01T00:00:00"/>
    <x v="0"/>
    <n v="290"/>
    <n v="434.24"/>
    <n v="125929.83"/>
  </r>
  <r>
    <d v="2022-05-01T00:00:00"/>
    <x v="1"/>
    <n v="321"/>
    <n v="186.62"/>
    <n v="59906.54"/>
  </r>
  <r>
    <d v="2022-05-01T00:00:00"/>
    <x v="2"/>
    <n v="264"/>
    <n v="31.69"/>
    <n v="8367.0300000000007"/>
  </r>
  <r>
    <d v="2022-05-01T00:00:00"/>
    <x v="3"/>
    <n v="245"/>
    <n v="31.69"/>
    <n v="7762.91"/>
  </r>
  <r>
    <d v="2022-05-01T00:00:00"/>
    <x v="4"/>
    <n v="235"/>
    <n v="32.369999999999997"/>
    <n v="7608.12"/>
  </r>
  <r>
    <d v="2022-05-01T00:00:00"/>
    <x v="5"/>
    <n v="236"/>
    <n v="10.4"/>
    <n v="2454.27"/>
  </r>
  <r>
    <d v="2022-06-01T00:00:00"/>
    <x v="0"/>
    <n v="264"/>
    <n v="478.94"/>
    <n v="126439.66"/>
  </r>
  <r>
    <d v="2022-06-01T00:00:00"/>
    <x v="1"/>
    <n v="262"/>
    <n v="181.92"/>
    <n v="47663.45"/>
  </r>
  <r>
    <d v="2022-06-01T00:00:00"/>
    <x v="2"/>
    <n v="279"/>
    <n v="30.05"/>
    <n v="8384"/>
  </r>
  <r>
    <d v="2022-06-01T00:00:00"/>
    <x v="3"/>
    <n v="226"/>
    <n v="31.68"/>
    <n v="7159.43"/>
  </r>
  <r>
    <d v="2022-06-01T00:00:00"/>
    <x v="4"/>
    <n v="198"/>
    <n v="30.45"/>
    <n v="6029.32"/>
  </r>
  <r>
    <d v="2022-06-01T00:00:00"/>
    <x v="5"/>
    <n v="258"/>
    <n v="10.24"/>
    <n v="2643.12"/>
  </r>
  <r>
    <d v="2022-07-01T00:00:00"/>
    <x v="0"/>
    <n v="303"/>
    <n v="512.03"/>
    <n v="155146.35"/>
  </r>
  <r>
    <d v="2022-07-01T00:00:00"/>
    <x v="1"/>
    <n v="263"/>
    <n v="183.53"/>
    <n v="48268.19"/>
  </r>
  <r>
    <d v="2022-07-01T00:00:00"/>
    <x v="2"/>
    <n v="297"/>
    <n v="34.24"/>
    <n v="10170.23"/>
  </r>
  <r>
    <d v="2022-07-01T00:00:00"/>
    <x v="3"/>
    <n v="264"/>
    <n v="30.77"/>
    <n v="8122.23"/>
  </r>
  <r>
    <d v="2022-07-01T00:00:00"/>
    <x v="4"/>
    <n v="210"/>
    <n v="32"/>
    <n v="6720"/>
  </r>
  <r>
    <d v="2022-07-01T00:00:00"/>
    <x v="5"/>
    <n v="267"/>
    <n v="10.42"/>
    <n v="2781.13"/>
  </r>
  <r>
    <d v="2022-08-01T00:00:00"/>
    <x v="0"/>
    <n v="303"/>
    <n v="423.52"/>
    <n v="128326.56"/>
  </r>
  <r>
    <d v="2022-08-01T00:00:00"/>
    <x v="1"/>
    <n v="279"/>
    <n v="183.67"/>
    <n v="51244.4"/>
  </r>
  <r>
    <d v="2022-08-01T00:00:00"/>
    <x v="2"/>
    <n v="273"/>
    <n v="30.34"/>
    <n v="8281.8700000000008"/>
  </r>
  <r>
    <d v="2022-08-01T00:00:00"/>
    <x v="3"/>
    <n v="236"/>
    <n v="28.96"/>
    <n v="6834.3"/>
  </r>
  <r>
    <d v="2022-08-01T00:00:00"/>
    <x v="4"/>
    <n v="213"/>
    <n v="27.67"/>
    <n v="5894.12"/>
  </r>
  <r>
    <d v="2022-08-01T00:00:00"/>
    <x v="5"/>
    <n v="265"/>
    <n v="11.03"/>
    <n v="2922.15"/>
  </r>
  <r>
    <d v="2022-09-01T00:00:00"/>
    <x v="0"/>
    <n v="238"/>
    <n v="386.36"/>
    <n v="91952.73"/>
  </r>
  <r>
    <d v="2022-09-01T00:00:00"/>
    <x v="1"/>
    <n v="248"/>
    <n v="175.44"/>
    <n v="43509.63"/>
  </r>
  <r>
    <d v="2022-09-01T00:00:00"/>
    <x v="2"/>
    <n v="245"/>
    <n v="30.94"/>
    <n v="7580.35"/>
  </r>
  <r>
    <d v="2022-09-01T00:00:00"/>
    <x v="4"/>
    <n v="219"/>
    <n v="31.66"/>
    <n v="6933.62"/>
  </r>
  <r>
    <d v="2022-09-01T00:00:00"/>
    <x v="3"/>
    <n v="216"/>
    <n v="30.62"/>
    <n v="6614.38"/>
  </r>
  <r>
    <d v="2022-09-01T00:00:00"/>
    <x v="5"/>
    <n v="250"/>
    <n v="9.4499999999999993"/>
    <n v="2362.0300000000002"/>
  </r>
  <r>
    <d v="2022-10-01T00:00:00"/>
    <x v="0"/>
    <n v="282"/>
    <n v="433.55"/>
    <n v="122260.51"/>
  </r>
  <r>
    <d v="2022-10-01T00:00:00"/>
    <x v="1"/>
    <n v="281"/>
    <n v="178.42"/>
    <n v="50134.86"/>
  </r>
  <r>
    <d v="2022-10-01T00:00:00"/>
    <x v="2"/>
    <n v="301"/>
    <n v="33.369999999999997"/>
    <n v="10043.620000000001"/>
  </r>
  <r>
    <d v="2022-10-01T00:00:00"/>
    <x v="4"/>
    <n v="238"/>
    <n v="32.47"/>
    <n v="7727.1"/>
  </r>
  <r>
    <d v="2022-10-01T00:00:00"/>
    <x v="3"/>
    <n v="237"/>
    <n v="31.94"/>
    <n v="7568.96"/>
  </r>
  <r>
    <d v="2022-10-01T00:00:00"/>
    <x v="5"/>
    <n v="254"/>
    <n v="10.58"/>
    <n v="2688.02"/>
  </r>
  <r>
    <d v="2022-11-01T00:00:00"/>
    <x v="0"/>
    <n v="288"/>
    <n v="437.05"/>
    <n v="125870.2"/>
  </r>
  <r>
    <d v="2022-11-01T00:00:00"/>
    <x v="1"/>
    <n v="287"/>
    <n v="181.69"/>
    <n v="52143.68"/>
  </r>
  <r>
    <d v="2022-11-01T00:00:00"/>
    <x v="3"/>
    <n v="250"/>
    <n v="32.5"/>
    <n v="8126.1"/>
  </r>
  <r>
    <d v="2022-11-01T00:00:00"/>
    <x v="2"/>
    <n v="239"/>
    <n v="29.48"/>
    <n v="7046.53"/>
  </r>
  <r>
    <d v="2022-11-01T00:00:00"/>
    <x v="4"/>
    <n v="221"/>
    <n v="28.25"/>
    <n v="6242.92"/>
  </r>
  <r>
    <d v="2022-11-01T00:00:00"/>
    <x v="5"/>
    <n v="266"/>
    <n v="11.04"/>
    <n v="2935.7"/>
  </r>
  <r>
    <d v="2022-12-01T00:00:00"/>
    <x v="0"/>
    <n v="291"/>
    <n v="487.62"/>
    <n v="141896.01999999999"/>
  </r>
  <r>
    <d v="2022-12-01T00:00:00"/>
    <x v="1"/>
    <n v="305"/>
    <n v="184.67"/>
    <n v="56323.59"/>
  </r>
  <r>
    <d v="2022-12-01T00:00:00"/>
    <x v="3"/>
    <n v="259"/>
    <n v="33.99"/>
    <n v="8802.2000000000007"/>
  </r>
  <r>
    <d v="2022-12-01T00:00:00"/>
    <x v="2"/>
    <n v="271"/>
    <n v="32.450000000000003"/>
    <n v="8793.49"/>
  </r>
  <r>
    <d v="2022-12-01T00:00:00"/>
    <x v="4"/>
    <n v="221"/>
    <n v="34.32"/>
    <n v="7584.56"/>
  </r>
  <r>
    <d v="2022-12-01T00:00:00"/>
    <x v="5"/>
    <n v="287"/>
    <n v="10.25"/>
    <n v="2940.95"/>
  </r>
  <r>
    <d v="2023-01-01T00:00:00"/>
    <x v="0"/>
    <n v="382"/>
    <n v="462.33"/>
    <n v="176610.34"/>
  </r>
  <r>
    <d v="2023-01-01T00:00:00"/>
    <x v="1"/>
    <n v="203"/>
    <n v="168.95"/>
    <n v="34297.449999999997"/>
  </r>
  <r>
    <d v="2023-01-01T00:00:00"/>
    <x v="3"/>
    <n v="354"/>
    <n v="33.89"/>
    <n v="11997.04"/>
  </r>
  <r>
    <d v="2023-01-01T00:00:00"/>
    <x v="2"/>
    <n v="317"/>
    <n v="37.590000000000003"/>
    <n v="11914.83"/>
  </r>
  <r>
    <d v="2023-01-01T00:00:00"/>
    <x v="4"/>
    <n v="270"/>
    <n v="33.07"/>
    <n v="8929.77"/>
  </r>
  <r>
    <d v="2023-01-01T00:00:00"/>
    <x v="5"/>
    <n v="328"/>
    <n v="10.54"/>
    <n v="3458.37"/>
  </r>
  <r>
    <d v="2023-02-01T00:00:00"/>
    <x v="0"/>
    <n v="339"/>
    <n v="462.39"/>
    <n v="156748.57"/>
  </r>
  <r>
    <d v="2023-02-01T00:00:00"/>
    <x v="1"/>
    <n v="171"/>
    <n v="170.6"/>
    <n v="29171.94"/>
  </r>
  <r>
    <d v="2023-02-01T00:00:00"/>
    <x v="3"/>
    <n v="291"/>
    <n v="32.53"/>
    <n v="9467.64"/>
  </r>
  <r>
    <d v="2023-02-01T00:00:00"/>
    <x v="4"/>
    <n v="261"/>
    <n v="31.9"/>
    <n v="8326.85"/>
  </r>
  <r>
    <d v="2023-02-01T00:00:00"/>
    <x v="2"/>
    <n v="284"/>
    <n v="29.19"/>
    <n v="8289.9699999999993"/>
  </r>
  <r>
    <d v="2023-02-01T00:00:00"/>
    <x v="5"/>
    <n v="302"/>
    <n v="10.4"/>
    <n v="3141.58"/>
  </r>
  <r>
    <d v="2023-03-01T00:00:00"/>
    <x v="0"/>
    <n v="317"/>
    <n v="453.23"/>
    <n v="143674.16"/>
  </r>
  <r>
    <d v="2023-03-01T00:00:00"/>
    <x v="1"/>
    <n v="209"/>
    <n v="171.13"/>
    <n v="35766.629999999997"/>
  </r>
  <r>
    <d v="2023-03-01T00:00:00"/>
    <x v="3"/>
    <n v="317"/>
    <n v="32.869999999999997"/>
    <n v="10419.530000000001"/>
  </r>
  <r>
    <d v="2023-03-01T00:00:00"/>
    <x v="2"/>
    <n v="333"/>
    <n v="30.78"/>
    <n v="10249.780000000001"/>
  </r>
  <r>
    <d v="2023-03-01T00:00:00"/>
    <x v="4"/>
    <n v="267"/>
    <n v="32.659999999999997"/>
    <n v="8719.74"/>
  </r>
  <r>
    <d v="2023-03-01T00:00:00"/>
    <x v="5"/>
    <n v="350"/>
    <n v="10.19"/>
    <n v="3567.26"/>
  </r>
  <r>
    <d v="2023-04-01T00:00:00"/>
    <x v="0"/>
    <n v="381"/>
    <n v="484.21"/>
    <n v="184482.29"/>
  </r>
  <r>
    <d v="2023-04-01T00:00:00"/>
    <x v="1"/>
    <n v="212"/>
    <n v="170.12"/>
    <n v="36065.03"/>
  </r>
  <r>
    <d v="2023-04-01T00:00:00"/>
    <x v="3"/>
    <n v="328"/>
    <n v="32.14"/>
    <n v="10541.37"/>
  </r>
  <r>
    <d v="2023-04-01T00:00:00"/>
    <x v="2"/>
    <n v="326"/>
    <n v="31.79"/>
    <n v="10362.61"/>
  </r>
  <r>
    <d v="2023-04-01T00:00:00"/>
    <x v="4"/>
    <n v="273"/>
    <n v="30.52"/>
    <n v="8330.86"/>
  </r>
  <r>
    <d v="2023-04-01T00:00:00"/>
    <x v="5"/>
    <n v="348"/>
    <n v="10.27"/>
    <n v="3572.32"/>
  </r>
  <r>
    <d v="2023-05-01T00:00:00"/>
    <x v="0"/>
    <n v="349"/>
    <n v="491.47"/>
    <n v="171522.52"/>
  </r>
  <r>
    <d v="2023-05-01T00:00:00"/>
    <x v="1"/>
    <n v="198"/>
    <n v="165.69"/>
    <n v="32807.15"/>
  </r>
  <r>
    <d v="2023-05-01T00:00:00"/>
    <x v="3"/>
    <n v="323"/>
    <n v="30.62"/>
    <n v="9891.18"/>
  </r>
  <r>
    <d v="2023-05-01T00:00:00"/>
    <x v="4"/>
    <n v="284"/>
    <n v="33.26"/>
    <n v="9444.5"/>
  </r>
  <r>
    <d v="2023-05-01T00:00:00"/>
    <x v="2"/>
    <n v="286"/>
    <n v="32.18"/>
    <n v="9204.27"/>
  </r>
  <r>
    <d v="2023-05-01T00:00:00"/>
    <x v="5"/>
    <n v="335"/>
    <n v="10.15"/>
    <n v="3401.76"/>
  </r>
  <r>
    <d v="2023-06-01T00:00:00"/>
    <x v="0"/>
    <n v="332"/>
    <n v="516.63"/>
    <n v="171521.99"/>
  </r>
  <r>
    <d v="2023-06-01T00:00:00"/>
    <x v="1"/>
    <n v="241"/>
    <n v="172.17"/>
    <n v="41491.910000000003"/>
  </r>
  <r>
    <d v="2023-06-01T00:00:00"/>
    <x v="2"/>
    <n v="301"/>
    <n v="32.17"/>
    <n v="9681.83"/>
  </r>
  <r>
    <d v="2023-06-01T00:00:00"/>
    <x v="3"/>
    <n v="300"/>
    <n v="31.37"/>
    <n v="9410.4500000000007"/>
  </r>
  <r>
    <d v="2023-06-01T00:00:00"/>
    <x v="4"/>
    <n v="257"/>
    <n v="32.43"/>
    <n v="8334.51"/>
  </r>
  <r>
    <d v="2023-06-01T00:00:00"/>
    <x v="5"/>
    <n v="322"/>
    <n v="9.82"/>
    <n v="3162.73"/>
  </r>
  <r>
    <d v="2023-07-01T00:00:00"/>
    <x v="0"/>
    <n v="338"/>
    <n v="412.81"/>
    <n v="139528.97"/>
  </r>
  <r>
    <d v="2023-07-01T00:00:00"/>
    <x v="1"/>
    <n v="277"/>
    <n v="175.64"/>
    <n v="48653.3"/>
  </r>
  <r>
    <d v="2023-07-01T00:00:00"/>
    <x v="3"/>
    <n v="314"/>
    <n v="32.78"/>
    <n v="10291.780000000001"/>
  </r>
  <r>
    <d v="2023-07-01T00:00:00"/>
    <x v="2"/>
    <n v="293"/>
    <n v="31.28"/>
    <n v="9166.11"/>
  </r>
  <r>
    <d v="2023-07-01T00:00:00"/>
    <x v="4"/>
    <n v="258"/>
    <n v="29.94"/>
    <n v="7724.3"/>
  </r>
  <r>
    <d v="2023-07-01T00:00:00"/>
    <x v="5"/>
    <n v="306"/>
    <n v="10.79"/>
    <n v="3300.39"/>
  </r>
  <r>
    <d v="2023-08-01T00:00:00"/>
    <x v="0"/>
    <n v="325"/>
    <n v="462.04"/>
    <n v="150163.45000000001"/>
  </r>
  <r>
    <d v="2023-08-01T00:00:00"/>
    <x v="1"/>
    <n v="283"/>
    <n v="177.16"/>
    <n v="50136.59"/>
  </r>
  <r>
    <d v="2023-08-01T00:00:00"/>
    <x v="2"/>
    <n v="333"/>
    <n v="33.14"/>
    <n v="11036.17"/>
  </r>
  <r>
    <d v="2023-08-01T00:00:00"/>
    <x v="3"/>
    <n v="299"/>
    <n v="34.01"/>
    <n v="10168.01"/>
  </r>
  <r>
    <d v="2023-08-01T00:00:00"/>
    <x v="4"/>
    <n v="273"/>
    <n v="30.9"/>
    <n v="8435.14"/>
  </r>
  <r>
    <d v="2023-08-01T00:00:00"/>
    <x v="5"/>
    <n v="324"/>
    <n v="10.24"/>
    <n v="3317.41"/>
  </r>
  <r>
    <d v="2023-09-01T00:00:00"/>
    <x v="0"/>
    <n v="335"/>
    <n v="447.19"/>
    <n v="149810.29"/>
  </r>
  <r>
    <d v="2023-09-01T00:00:00"/>
    <x v="1"/>
    <n v="283"/>
    <n v="170.82"/>
    <n v="48341.24"/>
  </r>
  <r>
    <d v="2023-09-01T00:00:00"/>
    <x v="2"/>
    <n v="299"/>
    <n v="32.659999999999997"/>
    <n v="9764.75"/>
  </r>
  <r>
    <d v="2023-09-01T00:00:00"/>
    <x v="3"/>
    <n v="279"/>
    <n v="33.630000000000003"/>
    <n v="9381.98"/>
  </r>
  <r>
    <d v="2023-09-01T00:00:00"/>
    <x v="4"/>
    <n v="229"/>
    <n v="31.06"/>
    <n v="7113.58"/>
  </r>
  <r>
    <d v="2023-09-01T00:00:00"/>
    <x v="5"/>
    <n v="304"/>
    <n v="10.61"/>
    <n v="3226.53"/>
  </r>
  <r>
    <d v="2023-10-01T00:00:00"/>
    <x v="0"/>
    <n v="363"/>
    <n v="458.19"/>
    <n v="166324.54999999999"/>
  </r>
  <r>
    <d v="2023-10-01T00:00:00"/>
    <x v="1"/>
    <n v="301"/>
    <n v="172.87"/>
    <n v="52032.93"/>
  </r>
  <r>
    <d v="2023-10-01T00:00:00"/>
    <x v="3"/>
    <n v="321"/>
    <n v="30.68"/>
    <n v="9848.89"/>
  </r>
  <r>
    <d v="2023-10-01T00:00:00"/>
    <x v="2"/>
    <n v="294"/>
    <n v="29.4"/>
    <n v="8642.9599999999991"/>
  </r>
  <r>
    <d v="2023-10-01T00:00:00"/>
    <x v="4"/>
    <n v="263"/>
    <n v="29.71"/>
    <n v="7814.44"/>
  </r>
  <r>
    <d v="2023-10-01T00:00:00"/>
    <x v="5"/>
    <n v="329"/>
    <n v="10.43"/>
    <n v="3431.46"/>
  </r>
  <r>
    <d v="2023-11-01T00:00:00"/>
    <x v="0"/>
    <n v="370"/>
    <n v="441.75"/>
    <n v="163445.65"/>
  </r>
  <r>
    <d v="2023-11-01T00:00:00"/>
    <x v="1"/>
    <n v="297"/>
    <n v="168.43"/>
    <n v="50024.84"/>
  </r>
  <r>
    <d v="2023-11-01T00:00:00"/>
    <x v="3"/>
    <n v="282"/>
    <n v="32.72"/>
    <n v="9226.7900000000009"/>
  </r>
  <r>
    <d v="2023-11-01T00:00:00"/>
    <x v="2"/>
    <n v="273"/>
    <n v="31.86"/>
    <n v="8697.2999999999993"/>
  </r>
  <r>
    <d v="2023-11-01T00:00:00"/>
    <x v="4"/>
    <n v="254"/>
    <n v="29.18"/>
    <n v="7411.64"/>
  </r>
  <r>
    <d v="2023-11-01T00:00:00"/>
    <x v="5"/>
    <n v="299"/>
    <n v="10.75"/>
    <n v="3213.72"/>
  </r>
  <r>
    <d v="2023-12-01T00:00:00"/>
    <x v="0"/>
    <n v="351"/>
    <n v="437.07"/>
    <n v="153411.75"/>
  </r>
  <r>
    <d v="2023-12-01T00:00:00"/>
    <x v="1"/>
    <n v="304"/>
    <n v="167.96"/>
    <n v="51058.58"/>
  </r>
  <r>
    <d v="2023-12-01T00:00:00"/>
    <x v="4"/>
    <n v="289"/>
    <n v="33.200000000000003"/>
    <n v="9594.31"/>
  </r>
  <r>
    <d v="2023-12-01T00:00:00"/>
    <x v="3"/>
    <n v="294"/>
    <n v="31.86"/>
    <n v="9365.56"/>
  </r>
  <r>
    <d v="2023-12-01T00:00:00"/>
    <x v="2"/>
    <n v="282"/>
    <n v="32.28"/>
    <n v="9102.1200000000008"/>
  </r>
  <r>
    <d v="2023-12-01T00:00:00"/>
    <x v="5"/>
    <n v="318"/>
    <n v="11.02"/>
    <n v="3504.99"/>
  </r>
  <r>
    <d v="2024-01-01T00:00:00"/>
    <x v="0"/>
    <n v="366"/>
    <n v="460.43"/>
    <n v="168516.05"/>
  </r>
  <r>
    <d v="2024-01-01T00:00:00"/>
    <x v="1"/>
    <n v="199"/>
    <n v="172.04"/>
    <n v="34235.69"/>
  </r>
  <r>
    <d v="2024-01-01T00:00:00"/>
    <x v="3"/>
    <n v="318"/>
    <n v="31.69"/>
    <n v="10077.790000000001"/>
  </r>
  <r>
    <d v="2024-01-01T00:00:00"/>
    <x v="2"/>
    <n v="316"/>
    <n v="29.14"/>
    <n v="9208.9699999999993"/>
  </r>
  <r>
    <d v="2024-01-01T00:00:00"/>
    <x v="4"/>
    <n v="287"/>
    <n v="31.62"/>
    <n v="9073.68"/>
  </r>
  <r>
    <d v="2024-01-01T00:00:00"/>
    <x v="5"/>
    <n v="338"/>
    <n v="10.47"/>
    <n v="3538.11"/>
  </r>
  <r>
    <d v="2024-02-01T00:00:00"/>
    <x v="0"/>
    <n v="299"/>
    <n v="459.98"/>
    <n v="137534.06"/>
  </r>
  <r>
    <d v="2024-02-01T00:00:00"/>
    <x v="1"/>
    <n v="189"/>
    <n v="170.34"/>
    <n v="32194.16"/>
  </r>
  <r>
    <d v="2024-02-01T00:00:00"/>
    <x v="3"/>
    <n v="297"/>
    <n v="33.43"/>
    <n v="9928.7000000000007"/>
  </r>
  <r>
    <d v="2024-02-01T00:00:00"/>
    <x v="2"/>
    <n v="313"/>
    <n v="30.75"/>
    <n v="9623.2900000000009"/>
  </r>
  <r>
    <d v="2024-02-01T00:00:00"/>
    <x v="4"/>
    <n v="248"/>
    <n v="33.56"/>
    <n v="8322.34"/>
  </r>
  <r>
    <d v="2024-02-01T00:00:00"/>
    <x v="5"/>
    <n v="325"/>
    <n v="10.119999999999999"/>
    <n v="3289.2"/>
  </r>
  <r>
    <d v="2024-03-01T00:00:00"/>
    <x v="0"/>
    <n v="393"/>
    <n v="491.36"/>
    <n v="193104.56"/>
  </r>
  <r>
    <d v="2024-03-01T00:00:00"/>
    <x v="1"/>
    <n v="215"/>
    <n v="170.54"/>
    <n v="36666.1"/>
  </r>
  <r>
    <d v="2024-03-01T00:00:00"/>
    <x v="3"/>
    <n v="339"/>
    <n v="32.29"/>
    <n v="10947.63"/>
  </r>
  <r>
    <d v="2024-03-01T00:00:00"/>
    <x v="2"/>
    <n v="337"/>
    <n v="31.85"/>
    <n v="10731.88"/>
  </r>
  <r>
    <d v="2024-03-01T00:00:00"/>
    <x v="4"/>
    <n v="281"/>
    <n v="30.42"/>
    <n v="8548.7000000000007"/>
  </r>
  <r>
    <d v="2024-03-01T00:00:00"/>
    <x v="5"/>
    <n v="358"/>
    <n v="10.24"/>
    <n v="3666.11"/>
  </r>
  <r>
    <d v="2024-04-01T00:00:00"/>
    <x v="0"/>
    <n v="337"/>
    <n v="483.38"/>
    <n v="162900.25"/>
  </r>
  <r>
    <d v="2024-04-01T00:00:00"/>
    <x v="1"/>
    <n v="195"/>
    <n v="165.16"/>
    <n v="32206.080000000002"/>
  </r>
  <r>
    <d v="2024-04-01T00:00:00"/>
    <x v="3"/>
    <n v="312"/>
    <n v="30.4"/>
    <n v="9484.92"/>
  </r>
  <r>
    <d v="2024-04-01T00:00:00"/>
    <x v="4"/>
    <n v="276"/>
    <n v="33.43"/>
    <n v="9226.66"/>
  </r>
  <r>
    <d v="2024-04-01T00:00:00"/>
    <x v="2"/>
    <n v="275"/>
    <n v="32.130000000000003"/>
    <n v="8835"/>
  </r>
  <r>
    <d v="2024-04-01T00:00:00"/>
    <x v="5"/>
    <n v="325"/>
    <n v="10.18"/>
    <n v="3307.97"/>
  </r>
  <r>
    <d v="2024-05-01T00:00:00"/>
    <x v="0"/>
    <n v="344"/>
    <n v="506.75"/>
    <n v="174321.82"/>
  </r>
  <r>
    <d v="2024-05-01T00:00:00"/>
    <x v="1"/>
    <n v="249"/>
    <n v="172.36"/>
    <n v="42917.54"/>
  </r>
  <r>
    <d v="2024-05-01T00:00:00"/>
    <x v="2"/>
    <n v="315"/>
    <n v="31.71"/>
    <n v="9987.36"/>
  </r>
  <r>
    <d v="2024-05-01T00:00:00"/>
    <x v="3"/>
    <n v="306"/>
    <n v="31.38"/>
    <n v="9602.75"/>
  </r>
  <r>
    <d v="2024-05-01T00:00:00"/>
    <x v="4"/>
    <n v="269"/>
    <n v="32.42"/>
    <n v="8719.85"/>
  </r>
  <r>
    <d v="2024-05-01T00:00:00"/>
    <x v="5"/>
    <n v="336"/>
    <n v="9.98"/>
    <n v="3352.16"/>
  </r>
  <r>
    <d v="2024-06-01T00:00:00"/>
    <x v="0"/>
    <n v="326"/>
    <n v="419.41"/>
    <n v="136729.14000000001"/>
  </r>
  <r>
    <d v="2024-06-01T00:00:00"/>
    <x v="1"/>
    <n v="269"/>
    <n v="175.57"/>
    <n v="47227.67"/>
  </r>
  <r>
    <d v="2024-06-01T00:00:00"/>
    <x v="3"/>
    <n v="308"/>
    <n v="32.79"/>
    <n v="10099.48"/>
  </r>
  <r>
    <d v="2024-06-01T00:00:00"/>
    <x v="2"/>
    <n v="279"/>
    <n v="31.76"/>
    <n v="8860.58"/>
  </r>
  <r>
    <d v="2024-06-01T00:00:00"/>
    <x v="4"/>
    <n v="246"/>
    <n v="29.83"/>
    <n v="7338.96"/>
  </r>
  <r>
    <d v="2024-06-01T00:00:00"/>
    <x v="5"/>
    <n v="292"/>
    <n v="10.65"/>
    <n v="3110.96"/>
  </r>
  <r>
    <d v="2024-07-01T00:00:00"/>
    <x v="0"/>
    <n v="325"/>
    <n v="462.04"/>
    <n v="150163.45000000001"/>
  </r>
  <r>
    <d v="2024-07-01T00:00:00"/>
    <x v="1"/>
    <n v="283"/>
    <n v="177.16"/>
    <n v="50136.59"/>
  </r>
  <r>
    <d v="2024-07-01T00:00:00"/>
    <x v="2"/>
    <n v="333"/>
    <n v="33.14"/>
    <n v="11036.17"/>
  </r>
  <r>
    <d v="2024-07-01T00:00:00"/>
    <x v="3"/>
    <n v="299"/>
    <n v="34.01"/>
    <n v="10168.01"/>
  </r>
  <r>
    <d v="2024-07-01T00:00:00"/>
    <x v="4"/>
    <n v="273"/>
    <n v="30.9"/>
    <n v="8435.14"/>
  </r>
  <r>
    <d v="2024-07-01T00:00:00"/>
    <x v="5"/>
    <n v="324"/>
    <n v="10.24"/>
    <n v="3317.41"/>
  </r>
  <r>
    <d v="2024-08-01T00:00:00"/>
    <x v="0"/>
    <n v="346"/>
    <n v="447.8"/>
    <n v="154938.41"/>
  </r>
  <r>
    <d v="2024-08-01T00:00:00"/>
    <x v="1"/>
    <n v="291"/>
    <n v="170.32"/>
    <n v="49563.51"/>
  </r>
  <r>
    <d v="2024-08-01T00:00:00"/>
    <x v="2"/>
    <n v="306"/>
    <n v="32.4"/>
    <n v="9914.4500000000007"/>
  </r>
  <r>
    <d v="2024-08-01T00:00:00"/>
    <x v="3"/>
    <n v="289"/>
    <n v="33.11"/>
    <n v="9569.34"/>
  </r>
  <r>
    <d v="2024-08-01T00:00:00"/>
    <x v="4"/>
    <n v="239"/>
    <n v="31.38"/>
    <n v="7500.61"/>
  </r>
  <r>
    <d v="2024-08-01T00:00:00"/>
    <x v="5"/>
    <n v="316"/>
    <n v="10.69"/>
    <n v="3377.45"/>
  </r>
  <r>
    <d v="2024-09-01T00:00:00"/>
    <x v="0"/>
    <n v="352"/>
    <n v="457.94"/>
    <n v="161196.43"/>
  </r>
  <r>
    <d v="2024-09-01T00:00:00"/>
    <x v="1"/>
    <n v="293"/>
    <n v="173.42"/>
    <n v="50810.66"/>
  </r>
  <r>
    <d v="2024-09-01T00:00:00"/>
    <x v="3"/>
    <n v="311"/>
    <n v="31.07"/>
    <n v="9661.5300000000007"/>
  </r>
  <r>
    <d v="2024-09-01T00:00:00"/>
    <x v="2"/>
    <n v="287"/>
    <n v="29.59"/>
    <n v="8493.26"/>
  </r>
  <r>
    <d v="2024-09-01T00:00:00"/>
    <x v="4"/>
    <n v="253"/>
    <n v="29.36"/>
    <n v="7427.41"/>
  </r>
  <r>
    <d v="2024-09-01T00:00:00"/>
    <x v="5"/>
    <n v="317"/>
    <n v="10.35"/>
    <n v="3280.54"/>
  </r>
  <r>
    <d v="2024-10-01T00:00:00"/>
    <x v="0"/>
    <n v="378"/>
    <n v="438.29"/>
    <n v="165675.23000000001"/>
  </r>
  <r>
    <d v="2024-10-01T00:00:00"/>
    <x v="1"/>
    <n v="310"/>
    <n v="167.94"/>
    <n v="52060.1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n v="190064.9"/>
  </r>
  <r>
    <x v="1"/>
    <n v="197529.18"/>
  </r>
  <r>
    <x v="2"/>
    <n v="210228.48000000001"/>
  </r>
  <r>
    <x v="3"/>
    <n v="179004.18"/>
  </r>
  <r>
    <x v="4"/>
    <n v="212028.7"/>
  </r>
  <r>
    <x v="5"/>
    <n v="198318.98"/>
  </r>
  <r>
    <x v="6"/>
    <n v="231208.13"/>
  </r>
  <r>
    <x v="7"/>
    <n v="203503.4"/>
  </r>
  <r>
    <x v="8"/>
    <n v="158952.74"/>
  </r>
  <r>
    <x v="9"/>
    <n v="200423.07"/>
  </r>
  <r>
    <x v="10"/>
    <n v="202365.13"/>
  </r>
  <r>
    <x v="11"/>
    <n v="226340.81"/>
  </r>
  <r>
    <x v="12"/>
    <n v="247207.8"/>
  </r>
  <r>
    <x v="13"/>
    <n v="215146.55"/>
  </r>
  <r>
    <x v="14"/>
    <n v="212397.1"/>
  </r>
  <r>
    <x v="15"/>
    <n v="253354.48"/>
  </r>
  <r>
    <x v="16"/>
    <n v="236271.38"/>
  </r>
  <r>
    <x v="17"/>
    <n v="243603.42"/>
  </r>
  <r>
    <x v="18"/>
    <n v="218664.85"/>
  </r>
  <r>
    <x v="19"/>
    <n v="233256.77"/>
  </r>
  <r>
    <x v="20"/>
    <n v="227638.37"/>
  </r>
  <r>
    <x v="21"/>
    <n v="248095.23"/>
  </r>
  <r>
    <x v="22"/>
    <n v="242019.94"/>
  </r>
  <r>
    <x v="23"/>
    <n v="236037.31"/>
  </r>
  <r>
    <x v="24"/>
    <n v="234650.29"/>
  </r>
  <r>
    <x v="25"/>
    <n v="200891.75"/>
  </r>
  <r>
    <x v="26"/>
    <n v="263664.98"/>
  </r>
  <r>
    <x v="27"/>
    <n v="225960.88"/>
  </r>
  <r>
    <x v="28"/>
    <n v="248901.48"/>
  </r>
  <r>
    <x v="29"/>
    <n v="213366.79"/>
  </r>
  <r>
    <x v="30"/>
    <n v="233256.77"/>
  </r>
  <r>
    <x v="31"/>
    <n v="234863.77"/>
  </r>
  <r>
    <x v="32"/>
    <n v="240869.83"/>
  </r>
  <r>
    <x v="33"/>
    <n v="247456.61"/>
  </r>
  <r>
    <x v="34"/>
    <n v="230600.64"/>
  </r>
  <r>
    <x v="35"/>
    <n v="247207.8"/>
  </r>
  <r>
    <x v="36"/>
    <n v="277874.74"/>
  </r>
  <r>
    <x v="37"/>
    <n v="262318.88"/>
  </r>
  <r>
    <x v="38"/>
    <n v="293722.84000000003"/>
  </r>
  <r>
    <x v="39"/>
    <n v="206982.63"/>
  </r>
  <r>
    <x v="40"/>
    <n v="225774.67"/>
  </r>
  <r>
    <x v="41"/>
    <n v="216983.57"/>
  </r>
  <r>
    <x v="42"/>
    <n v="310327.15999999997"/>
  </r>
  <r>
    <x v="43"/>
    <n v="311949.14"/>
  </r>
  <r>
    <x v="44"/>
    <n v="304304.78999999998"/>
  </r>
  <r>
    <x v="45"/>
    <n v="359699.69"/>
  </r>
  <r>
    <x v="46"/>
    <n v="304194.5"/>
  </r>
  <r>
    <x v="47"/>
    <n v="332129.9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105341-IT"/>
    <x v="0"/>
    <s v="Technology &amp; Accessories"/>
    <n v="306883.8"/>
    <n v="174"/>
  </r>
  <r>
    <s v="105326-IT"/>
    <x v="1"/>
    <s v="Technology &amp; Accessories"/>
    <n v="261090.4"/>
    <n v="152"/>
  </r>
  <r>
    <s v="105325-IT"/>
    <x v="2"/>
    <s v="Technology &amp; Accessories"/>
    <n v="257655"/>
    <n v="150"/>
  </r>
  <r>
    <s v="105324-IT"/>
    <x v="3"/>
    <s v="Technology &amp; Accessories"/>
    <n v="251094.2"/>
    <n v="194"/>
  </r>
  <r>
    <s v="105330-IT"/>
    <x v="4"/>
    <s v="Technology &amp; Accessories"/>
    <n v="228489.04"/>
    <n v="166"/>
  </r>
  <r>
    <s v="105334-IT"/>
    <x v="5"/>
    <s v="Technology &amp; Accessories"/>
    <n v="219375.68"/>
    <n v="172"/>
  </r>
  <r>
    <s v="105327-IT"/>
    <x v="6"/>
    <s v="Technology &amp; Accessories"/>
    <n v="218738.88"/>
    <n v="174"/>
  </r>
  <r>
    <s v="105333-IT"/>
    <x v="7"/>
    <s v="Technology &amp; Accessories"/>
    <n v="217056"/>
    <n v="168"/>
  </r>
  <r>
    <s v="105332-IT"/>
    <x v="8"/>
    <s v="Technology &amp; Accessories"/>
    <n v="212663.2"/>
    <n v="170"/>
  </r>
  <r>
    <s v="105338-IT"/>
    <x v="9"/>
    <s v="Technology &amp; Accessories"/>
    <n v="205561.2"/>
    <n v="15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n v="91261.84"/>
    <m/>
    <m/>
  </r>
  <r>
    <x v="1"/>
    <x v="0"/>
    <n v="120010.22"/>
    <n v="91261.84"/>
    <n v="28748.38"/>
  </r>
  <r>
    <x v="2"/>
    <x v="0"/>
    <n v="120129.54"/>
    <n v="120010.22"/>
    <n v="119.32"/>
  </r>
  <r>
    <x v="3"/>
    <x v="0"/>
    <n v="169185.87"/>
    <n v="120129.54"/>
    <n v="49056.33"/>
  </r>
  <r>
    <x v="0"/>
    <x v="1"/>
    <n v="84065.95"/>
    <m/>
    <m/>
  </r>
  <r>
    <x v="1"/>
    <x v="1"/>
    <n v="100179.64"/>
    <n v="84065.95"/>
    <n v="16113.69"/>
  </r>
  <r>
    <x v="2"/>
    <x v="1"/>
    <n v="100529.07"/>
    <n v="100179.64"/>
    <n v="349.43"/>
  </r>
  <r>
    <x v="3"/>
    <x v="1"/>
    <n v="149222.01"/>
    <n v="100529.07"/>
    <n v="48692.94"/>
  </r>
  <r>
    <x v="0"/>
    <x v="2"/>
    <n v="102417.62"/>
    <m/>
    <m/>
  </r>
  <r>
    <x v="1"/>
    <x v="2"/>
    <n v="116112.7"/>
    <n v="102417.62"/>
    <n v="13695.08"/>
  </r>
  <r>
    <x v="2"/>
    <x v="2"/>
    <n v="116405.21"/>
    <n v="116112.7"/>
    <n v="292.51"/>
  </r>
  <r>
    <x v="3"/>
    <x v="2"/>
    <n v="159910.23000000001"/>
    <n v="116405.21"/>
    <n v="43505.02"/>
  </r>
  <r>
    <x v="0"/>
    <x v="3"/>
    <n v="32269.45"/>
    <m/>
    <m/>
  </r>
  <r>
    <x v="1"/>
    <x v="3"/>
    <n v="40298.519999999997"/>
    <n v="32269.45"/>
    <n v="8029.07"/>
  </r>
  <r>
    <x v="2"/>
    <x v="3"/>
    <n v="40416.99"/>
    <n v="40298.519999999997"/>
    <n v="118.47"/>
  </r>
  <r>
    <x v="3"/>
    <x v="3"/>
    <n v="61084.52"/>
    <n v="40416.99"/>
    <n v="20667.53"/>
  </r>
  <r>
    <x v="0"/>
    <x v="4"/>
    <n v="1511977.6"/>
    <m/>
    <m/>
  </r>
  <r>
    <x v="1"/>
    <x v="4"/>
    <n v="1927244.53"/>
    <n v="1511977.6"/>
    <n v="415266.93"/>
  </r>
  <r>
    <x v="2"/>
    <x v="4"/>
    <n v="1932871.91"/>
    <n v="1927244.53"/>
    <n v="5627.38"/>
  </r>
  <r>
    <x v="3"/>
    <x v="4"/>
    <n v="2454843.7999999998"/>
    <n v="1932871.91"/>
    <n v="521971.89"/>
  </r>
  <r>
    <x v="0"/>
    <x v="5"/>
    <n v="587975.24"/>
    <m/>
    <m/>
  </r>
  <r>
    <x v="1"/>
    <x v="5"/>
    <n v="509847.59"/>
    <n v="587975.24"/>
    <n v="-78127.649999999994"/>
  </r>
  <r>
    <x v="2"/>
    <x v="5"/>
    <n v="511338.87"/>
    <n v="509847.59"/>
    <n v="1491.28"/>
  </r>
  <r>
    <x v="3"/>
    <x v="5"/>
    <n v="412016.17"/>
    <n v="511338.87"/>
    <n v="-99322.7"/>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n v="736"/>
    <x v="0"/>
    <n v="8708119"/>
    <n v="69530"/>
    <n v="125.24"/>
    <n v="1"/>
  </r>
  <r>
    <n v="734"/>
    <x v="1"/>
    <n v="584675.92000000004"/>
    <n v="4363"/>
    <n v="134.01"/>
    <n v="2"/>
  </r>
  <r>
    <n v="737"/>
    <x v="2"/>
    <n v="320441.24"/>
    <n v="2192"/>
    <n v="146.19"/>
    <n v="3"/>
  </r>
  <r>
    <n v="735"/>
    <x v="3"/>
    <n v="319394.58"/>
    <n v="2181"/>
    <n v="146.44"/>
    <n v="4"/>
  </r>
  <r>
    <n v="739"/>
    <x v="4"/>
    <n v="318511.03999999998"/>
    <n v="2341"/>
    <n v="136.06"/>
    <n v="5"/>
  </r>
  <r>
    <n v="733"/>
    <x v="5"/>
    <n v="310099.90000000002"/>
    <n v="2222"/>
    <n v="139.56"/>
    <n v="6"/>
  </r>
  <r>
    <n v="732"/>
    <x v="6"/>
    <n v="303433.61"/>
    <n v="2228"/>
    <n v="136.19"/>
    <n v="7"/>
  </r>
  <r>
    <n v="738"/>
    <x v="7"/>
    <n v="298074.49"/>
    <n v="2202"/>
    <n v="135.37"/>
    <n v="8"/>
  </r>
  <r>
    <n v="731"/>
    <x v="8"/>
    <n v="288865.31"/>
    <n v="2207"/>
    <n v="130.88999999999999"/>
    <n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7ECCF1-1971-4A76-8B0A-C83B416E6428}"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Month">
  <location ref="D2:E51" firstHeaderRow="1" firstDataRow="1" firstDataCol="1"/>
  <pivotFields count="5">
    <pivotField axis="axisRow" numFmtId="165"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Monthly_Revenue" fld="1" baseField="0" baseItem="0" numFmtId="164"/>
  </dataFields>
  <chartFormats count="4">
    <chartFormat chart="13" format="3"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27FA6A-DB9D-4E95-839D-915ADDD7E80C}"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Category">
  <location ref="G12:H19" firstHeaderRow="1" firstDataRow="1" firstDataCol="1"/>
  <pivotFields count="5">
    <pivotField numFmtId="14" showAll="0"/>
    <pivotField axis="axisRow" showAll="0" sortType="descending">
      <items count="7">
        <item x="3"/>
        <item x="4"/>
        <item x="2"/>
        <item x="5"/>
        <item x="0"/>
        <item x="1"/>
        <item t="default"/>
      </items>
      <autoSortScope>
        <pivotArea dataOnly="0" outline="0" fieldPosition="0">
          <references count="1">
            <reference field="4294967294" count="1" selected="0">
              <x v="0"/>
            </reference>
          </references>
        </pivotArea>
      </autoSortScope>
    </pivotField>
    <pivotField showAll="0"/>
    <pivotField showAll="0"/>
    <pivotField dataField="1" numFmtId="8" showAll="0"/>
  </pivotFields>
  <rowFields count="1">
    <field x="1"/>
  </rowFields>
  <rowItems count="7">
    <i>
      <x v="4"/>
    </i>
    <i>
      <x v="5"/>
    </i>
    <i>
      <x v="2"/>
    </i>
    <i>
      <x/>
    </i>
    <i>
      <x v="1"/>
    </i>
    <i>
      <x v="3"/>
    </i>
    <i t="grand">
      <x/>
    </i>
  </rowItems>
  <colItems count="1">
    <i/>
  </colItems>
  <dataFields count="1">
    <dataField name="Sum of Category_Revenue" fld="4" baseField="0" baseItem="0" numFmtId="8"/>
  </dataFields>
  <chartFormats count="2">
    <chartFormat chart="19" format="3"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0AE81B-2CD4-4220-AE06-25736A26C0E9}"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ategory">
  <location ref="G2:J9" firstHeaderRow="0" firstDataRow="1" firstDataCol="1"/>
  <pivotFields count="5">
    <pivotField numFmtId="14" showAll="0"/>
    <pivotField axis="axisRow" showAll="0" sortType="descending">
      <items count="7">
        <item x="3"/>
        <item x="4"/>
        <item x="2"/>
        <item x="5"/>
        <item x="0"/>
        <item x="1"/>
        <item t="default"/>
      </items>
      <autoSortScope>
        <pivotArea dataOnly="0" outline="0" fieldPosition="0">
          <references count="1">
            <reference field="4294967294" count="1" selected="0">
              <x v="0"/>
            </reference>
          </references>
        </pivotArea>
      </autoSortScope>
    </pivotField>
    <pivotField dataField="1" showAll="0"/>
    <pivotField dataField="1" showAll="0"/>
    <pivotField dataField="1" numFmtId="8" showAll="0"/>
  </pivotFields>
  <rowFields count="1">
    <field x="1"/>
  </rowFields>
  <rowItems count="7">
    <i>
      <x v="4"/>
    </i>
    <i>
      <x v="5"/>
    </i>
    <i>
      <x v="2"/>
    </i>
    <i>
      <x/>
    </i>
    <i>
      <x v="1"/>
    </i>
    <i>
      <x v="3"/>
    </i>
    <i t="grand">
      <x/>
    </i>
  </rowItems>
  <colFields count="1">
    <field x="-2"/>
  </colFields>
  <colItems count="3">
    <i>
      <x/>
    </i>
    <i i="1">
      <x v="1"/>
    </i>
    <i i="2">
      <x v="2"/>
    </i>
  </colItems>
  <dataFields count="3">
    <dataField name="Sum of Category_Revenue" fld="4" baseField="0" baseItem="0" numFmtId="8"/>
    <dataField name="Sum of Transaction_Count" fld="2" baseField="0" baseItem="0"/>
    <dataField name="Average of Average_Transaction_Size" fld="3" subtotal="average" baseField="1" baseItem="4" numFmtId="164"/>
  </dataFields>
  <formats count="1">
    <format dxfId="39">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144F28-594C-45A1-A68B-6AF74BE51B59}" name="PivotTable1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rowHeaderCaption="City Location">
  <location ref="A12:C22" firstHeaderRow="0" firstDataRow="1" firstDataCol="1"/>
  <pivotFields count="6">
    <pivotField showAll="0"/>
    <pivotField axis="axisRow" showAll="0" sortType="descending">
      <items count="10">
        <item x="8"/>
        <item x="6"/>
        <item x="5"/>
        <item x="1"/>
        <item x="3"/>
        <item x="0"/>
        <item x="2"/>
        <item x="7"/>
        <item x="4"/>
        <item t="default"/>
      </items>
      <autoSortScope>
        <pivotArea dataOnly="0" outline="0" fieldPosition="0">
          <references count="1">
            <reference field="4294967294" count="1" selected="0">
              <x v="0"/>
            </reference>
          </references>
        </pivotArea>
      </autoSortScope>
    </pivotField>
    <pivotField dataField="1" numFmtId="164" showAll="0"/>
    <pivotField dataField="1" showAll="0"/>
    <pivotField numFmtId="164" showAll="0"/>
    <pivotField showAll="0"/>
  </pivotFields>
  <rowFields count="1">
    <field x="1"/>
  </rowFields>
  <rowItems count="10">
    <i>
      <x v="5"/>
    </i>
    <i>
      <x v="3"/>
    </i>
    <i>
      <x v="6"/>
    </i>
    <i>
      <x v="4"/>
    </i>
    <i>
      <x v="8"/>
    </i>
    <i>
      <x v="2"/>
    </i>
    <i>
      <x v="1"/>
    </i>
    <i>
      <x v="7"/>
    </i>
    <i>
      <x/>
    </i>
    <i t="grand">
      <x/>
    </i>
  </rowItems>
  <colFields count="1">
    <field x="-2"/>
  </colFields>
  <colItems count="2">
    <i>
      <x/>
    </i>
    <i i="1">
      <x v="1"/>
    </i>
  </colItems>
  <dataFields count="2">
    <dataField name="Sum of Total_Revenue" fld="2" baseField="0" baseItem="0" numFmtId="164"/>
    <dataField name="Sum of Transaction_Count" fld="3" baseField="0" baseItem="0"/>
  </dataFields>
  <chartFormats count="80">
    <chartFormat chart="46" format="10" series="1">
      <pivotArea type="data" outline="0" fieldPosition="0">
        <references count="1">
          <reference field="4294967294" count="1" selected="0">
            <x v="0"/>
          </reference>
        </references>
      </pivotArea>
    </chartFormat>
    <chartFormat chart="46" format="11">
      <pivotArea type="data" outline="0" fieldPosition="0">
        <references count="2">
          <reference field="4294967294" count="1" selected="0">
            <x v="0"/>
          </reference>
          <reference field="1" count="1" selected="0">
            <x v="5"/>
          </reference>
        </references>
      </pivotArea>
    </chartFormat>
    <chartFormat chart="46" format="12">
      <pivotArea type="data" outline="0" fieldPosition="0">
        <references count="2">
          <reference field="4294967294" count="1" selected="0">
            <x v="0"/>
          </reference>
          <reference field="1" count="1" selected="0">
            <x v="3"/>
          </reference>
        </references>
      </pivotArea>
    </chartFormat>
    <chartFormat chart="46" format="13">
      <pivotArea type="data" outline="0" fieldPosition="0">
        <references count="2">
          <reference field="4294967294" count="1" selected="0">
            <x v="0"/>
          </reference>
          <reference field="1" count="1" selected="0">
            <x v="6"/>
          </reference>
        </references>
      </pivotArea>
    </chartFormat>
    <chartFormat chart="46" format="14">
      <pivotArea type="data" outline="0" fieldPosition="0">
        <references count="2">
          <reference field="4294967294" count="1" selected="0">
            <x v="0"/>
          </reference>
          <reference field="1" count="1" selected="0">
            <x v="4"/>
          </reference>
        </references>
      </pivotArea>
    </chartFormat>
    <chartFormat chart="46" format="15">
      <pivotArea type="data" outline="0" fieldPosition="0">
        <references count="2">
          <reference field="4294967294" count="1" selected="0">
            <x v="0"/>
          </reference>
          <reference field="1" count="1" selected="0">
            <x v="8"/>
          </reference>
        </references>
      </pivotArea>
    </chartFormat>
    <chartFormat chart="46" format="16">
      <pivotArea type="data" outline="0" fieldPosition="0">
        <references count="2">
          <reference field="4294967294" count="1" selected="0">
            <x v="0"/>
          </reference>
          <reference field="1" count="1" selected="0">
            <x v="2"/>
          </reference>
        </references>
      </pivotArea>
    </chartFormat>
    <chartFormat chart="46" format="17">
      <pivotArea type="data" outline="0" fieldPosition="0">
        <references count="2">
          <reference field="4294967294" count="1" selected="0">
            <x v="0"/>
          </reference>
          <reference field="1" count="1" selected="0">
            <x v="1"/>
          </reference>
        </references>
      </pivotArea>
    </chartFormat>
    <chartFormat chart="46" format="18">
      <pivotArea type="data" outline="0" fieldPosition="0">
        <references count="2">
          <reference field="4294967294" count="1" selected="0">
            <x v="0"/>
          </reference>
          <reference field="1" count="1" selected="0">
            <x v="7"/>
          </reference>
        </references>
      </pivotArea>
    </chartFormat>
    <chartFormat chart="46" format="19">
      <pivotArea type="data" outline="0" fieldPosition="0">
        <references count="2">
          <reference field="4294967294" count="1" selected="0">
            <x v="0"/>
          </reference>
          <reference field="1" count="1" selected="0">
            <x v="0"/>
          </reference>
        </references>
      </pivotArea>
    </chartFormat>
    <chartFormat chart="46" format="20" series="1">
      <pivotArea type="data" outline="0" fieldPosition="0">
        <references count="1">
          <reference field="4294967294" count="1" selected="0">
            <x v="1"/>
          </reference>
        </references>
      </pivotArea>
    </chartFormat>
    <chartFormat chart="46" format="21">
      <pivotArea type="data" outline="0" fieldPosition="0">
        <references count="2">
          <reference field="4294967294" count="1" selected="0">
            <x v="1"/>
          </reference>
          <reference field="1" count="1" selected="0">
            <x v="5"/>
          </reference>
        </references>
      </pivotArea>
    </chartFormat>
    <chartFormat chart="46" format="22">
      <pivotArea type="data" outline="0" fieldPosition="0">
        <references count="2">
          <reference field="4294967294" count="1" selected="0">
            <x v="1"/>
          </reference>
          <reference field="1" count="1" selected="0">
            <x v="3"/>
          </reference>
        </references>
      </pivotArea>
    </chartFormat>
    <chartFormat chart="46" format="23">
      <pivotArea type="data" outline="0" fieldPosition="0">
        <references count="2">
          <reference field="4294967294" count="1" selected="0">
            <x v="1"/>
          </reference>
          <reference field="1" count="1" selected="0">
            <x v="6"/>
          </reference>
        </references>
      </pivotArea>
    </chartFormat>
    <chartFormat chart="46" format="24">
      <pivotArea type="data" outline="0" fieldPosition="0">
        <references count="2">
          <reference field="4294967294" count="1" selected="0">
            <x v="1"/>
          </reference>
          <reference field="1" count="1" selected="0">
            <x v="4"/>
          </reference>
        </references>
      </pivotArea>
    </chartFormat>
    <chartFormat chart="46" format="25">
      <pivotArea type="data" outline="0" fieldPosition="0">
        <references count="2">
          <reference field="4294967294" count="1" selected="0">
            <x v="1"/>
          </reference>
          <reference field="1" count="1" selected="0">
            <x v="8"/>
          </reference>
        </references>
      </pivotArea>
    </chartFormat>
    <chartFormat chart="46" format="26">
      <pivotArea type="data" outline="0" fieldPosition="0">
        <references count="2">
          <reference field="4294967294" count="1" selected="0">
            <x v="1"/>
          </reference>
          <reference field="1" count="1" selected="0">
            <x v="2"/>
          </reference>
        </references>
      </pivotArea>
    </chartFormat>
    <chartFormat chart="46" format="27">
      <pivotArea type="data" outline="0" fieldPosition="0">
        <references count="2">
          <reference field="4294967294" count="1" selected="0">
            <x v="1"/>
          </reference>
          <reference field="1" count="1" selected="0">
            <x v="1"/>
          </reference>
        </references>
      </pivotArea>
    </chartFormat>
    <chartFormat chart="46" format="28">
      <pivotArea type="data" outline="0" fieldPosition="0">
        <references count="2">
          <reference field="4294967294" count="1" selected="0">
            <x v="1"/>
          </reference>
          <reference field="1" count="1" selected="0">
            <x v="7"/>
          </reference>
        </references>
      </pivotArea>
    </chartFormat>
    <chartFormat chart="46" format="29">
      <pivotArea type="data" outline="0" fieldPosition="0">
        <references count="2">
          <reference field="4294967294" count="1" selected="0">
            <x v="1"/>
          </reference>
          <reference field="1" count="1" selected="0">
            <x v="0"/>
          </reference>
        </references>
      </pivotArea>
    </chartFormat>
    <chartFormat chart="47" format="30" series="1">
      <pivotArea type="data" outline="0" fieldPosition="0">
        <references count="1">
          <reference field="4294967294" count="1" selected="0">
            <x v="0"/>
          </reference>
        </references>
      </pivotArea>
    </chartFormat>
    <chartFormat chart="47" format="31">
      <pivotArea type="data" outline="0" fieldPosition="0">
        <references count="2">
          <reference field="4294967294" count="1" selected="0">
            <x v="0"/>
          </reference>
          <reference field="1" count="1" selected="0">
            <x v="5"/>
          </reference>
        </references>
      </pivotArea>
    </chartFormat>
    <chartFormat chart="47" format="32">
      <pivotArea type="data" outline="0" fieldPosition="0">
        <references count="2">
          <reference field="4294967294" count="1" selected="0">
            <x v="0"/>
          </reference>
          <reference field="1" count="1" selected="0">
            <x v="3"/>
          </reference>
        </references>
      </pivotArea>
    </chartFormat>
    <chartFormat chart="47" format="33">
      <pivotArea type="data" outline="0" fieldPosition="0">
        <references count="2">
          <reference field="4294967294" count="1" selected="0">
            <x v="0"/>
          </reference>
          <reference field="1" count="1" selected="0">
            <x v="6"/>
          </reference>
        </references>
      </pivotArea>
    </chartFormat>
    <chartFormat chart="47" format="34">
      <pivotArea type="data" outline="0" fieldPosition="0">
        <references count="2">
          <reference field="4294967294" count="1" selected="0">
            <x v="0"/>
          </reference>
          <reference field="1" count="1" selected="0">
            <x v="4"/>
          </reference>
        </references>
      </pivotArea>
    </chartFormat>
    <chartFormat chart="47" format="35">
      <pivotArea type="data" outline="0" fieldPosition="0">
        <references count="2">
          <reference field="4294967294" count="1" selected="0">
            <x v="0"/>
          </reference>
          <reference field="1" count="1" selected="0">
            <x v="8"/>
          </reference>
        </references>
      </pivotArea>
    </chartFormat>
    <chartFormat chart="47" format="36">
      <pivotArea type="data" outline="0" fieldPosition="0">
        <references count="2">
          <reference field="4294967294" count="1" selected="0">
            <x v="0"/>
          </reference>
          <reference field="1" count="1" selected="0">
            <x v="2"/>
          </reference>
        </references>
      </pivotArea>
    </chartFormat>
    <chartFormat chart="47" format="37">
      <pivotArea type="data" outline="0" fieldPosition="0">
        <references count="2">
          <reference field="4294967294" count="1" selected="0">
            <x v="0"/>
          </reference>
          <reference field="1" count="1" selected="0">
            <x v="1"/>
          </reference>
        </references>
      </pivotArea>
    </chartFormat>
    <chartFormat chart="47" format="38">
      <pivotArea type="data" outline="0" fieldPosition="0">
        <references count="2">
          <reference field="4294967294" count="1" selected="0">
            <x v="0"/>
          </reference>
          <reference field="1" count="1" selected="0">
            <x v="7"/>
          </reference>
        </references>
      </pivotArea>
    </chartFormat>
    <chartFormat chart="47" format="39">
      <pivotArea type="data" outline="0" fieldPosition="0">
        <references count="2">
          <reference field="4294967294" count="1" selected="0">
            <x v="0"/>
          </reference>
          <reference field="1" count="1" selected="0">
            <x v="0"/>
          </reference>
        </references>
      </pivotArea>
    </chartFormat>
    <chartFormat chart="47" format="40" series="1">
      <pivotArea type="data" outline="0" fieldPosition="0">
        <references count="1">
          <reference field="4294967294" count="1" selected="0">
            <x v="1"/>
          </reference>
        </references>
      </pivotArea>
    </chartFormat>
    <chartFormat chart="47" format="41">
      <pivotArea type="data" outline="0" fieldPosition="0">
        <references count="2">
          <reference field="4294967294" count="1" selected="0">
            <x v="1"/>
          </reference>
          <reference field="1" count="1" selected="0">
            <x v="5"/>
          </reference>
        </references>
      </pivotArea>
    </chartFormat>
    <chartFormat chart="47" format="42">
      <pivotArea type="data" outline="0" fieldPosition="0">
        <references count="2">
          <reference field="4294967294" count="1" selected="0">
            <x v="1"/>
          </reference>
          <reference field="1" count="1" selected="0">
            <x v="3"/>
          </reference>
        </references>
      </pivotArea>
    </chartFormat>
    <chartFormat chart="47" format="43">
      <pivotArea type="data" outline="0" fieldPosition="0">
        <references count="2">
          <reference field="4294967294" count="1" selected="0">
            <x v="1"/>
          </reference>
          <reference field="1" count="1" selected="0">
            <x v="6"/>
          </reference>
        </references>
      </pivotArea>
    </chartFormat>
    <chartFormat chart="47" format="44">
      <pivotArea type="data" outline="0" fieldPosition="0">
        <references count="2">
          <reference field="4294967294" count="1" selected="0">
            <x v="1"/>
          </reference>
          <reference field="1" count="1" selected="0">
            <x v="4"/>
          </reference>
        </references>
      </pivotArea>
    </chartFormat>
    <chartFormat chart="47" format="45">
      <pivotArea type="data" outline="0" fieldPosition="0">
        <references count="2">
          <reference field="4294967294" count="1" selected="0">
            <x v="1"/>
          </reference>
          <reference field="1" count="1" selected="0">
            <x v="8"/>
          </reference>
        </references>
      </pivotArea>
    </chartFormat>
    <chartFormat chart="47" format="46">
      <pivotArea type="data" outline="0" fieldPosition="0">
        <references count="2">
          <reference field="4294967294" count="1" selected="0">
            <x v="1"/>
          </reference>
          <reference field="1" count="1" selected="0">
            <x v="2"/>
          </reference>
        </references>
      </pivotArea>
    </chartFormat>
    <chartFormat chart="47" format="47">
      <pivotArea type="data" outline="0" fieldPosition="0">
        <references count="2">
          <reference field="4294967294" count="1" selected="0">
            <x v="1"/>
          </reference>
          <reference field="1" count="1" selected="0">
            <x v="1"/>
          </reference>
        </references>
      </pivotArea>
    </chartFormat>
    <chartFormat chart="47" format="48">
      <pivotArea type="data" outline="0" fieldPosition="0">
        <references count="2">
          <reference field="4294967294" count="1" selected="0">
            <x v="1"/>
          </reference>
          <reference field="1" count="1" selected="0">
            <x v="7"/>
          </reference>
        </references>
      </pivotArea>
    </chartFormat>
    <chartFormat chart="47" format="49">
      <pivotArea type="data" outline="0" fieldPosition="0">
        <references count="2">
          <reference field="4294967294" count="1" selected="0">
            <x v="1"/>
          </reference>
          <reference field="1" count="1" selected="0">
            <x v="0"/>
          </reference>
        </references>
      </pivotArea>
    </chartFormat>
    <chartFormat chart="52" format="45" series="1">
      <pivotArea type="data" outline="0" fieldPosition="0">
        <references count="1">
          <reference field="4294967294" count="1" selected="0">
            <x v="0"/>
          </reference>
        </references>
      </pivotArea>
    </chartFormat>
    <chartFormat chart="52" format="46">
      <pivotArea type="data" outline="0" fieldPosition="0">
        <references count="2">
          <reference field="4294967294" count="1" selected="0">
            <x v="0"/>
          </reference>
          <reference field="1" count="1" selected="0">
            <x v="5"/>
          </reference>
        </references>
      </pivotArea>
    </chartFormat>
    <chartFormat chart="52" format="47">
      <pivotArea type="data" outline="0" fieldPosition="0">
        <references count="2">
          <reference field="4294967294" count="1" selected="0">
            <x v="0"/>
          </reference>
          <reference field="1" count="1" selected="0">
            <x v="3"/>
          </reference>
        </references>
      </pivotArea>
    </chartFormat>
    <chartFormat chart="52" format="48">
      <pivotArea type="data" outline="0" fieldPosition="0">
        <references count="2">
          <reference field="4294967294" count="1" selected="0">
            <x v="0"/>
          </reference>
          <reference field="1" count="1" selected="0">
            <x v="6"/>
          </reference>
        </references>
      </pivotArea>
    </chartFormat>
    <chartFormat chart="52" format="49">
      <pivotArea type="data" outline="0" fieldPosition="0">
        <references count="2">
          <reference field="4294967294" count="1" selected="0">
            <x v="0"/>
          </reference>
          <reference field="1" count="1" selected="0">
            <x v="4"/>
          </reference>
        </references>
      </pivotArea>
    </chartFormat>
    <chartFormat chart="52" format="50">
      <pivotArea type="data" outline="0" fieldPosition="0">
        <references count="2">
          <reference field="4294967294" count="1" selected="0">
            <x v="0"/>
          </reference>
          <reference field="1" count="1" selected="0">
            <x v="8"/>
          </reference>
        </references>
      </pivotArea>
    </chartFormat>
    <chartFormat chart="52" format="51">
      <pivotArea type="data" outline="0" fieldPosition="0">
        <references count="2">
          <reference field="4294967294" count="1" selected="0">
            <x v="0"/>
          </reference>
          <reference field="1" count="1" selected="0">
            <x v="2"/>
          </reference>
        </references>
      </pivotArea>
    </chartFormat>
    <chartFormat chart="52" format="52">
      <pivotArea type="data" outline="0" fieldPosition="0">
        <references count="2">
          <reference field="4294967294" count="1" selected="0">
            <x v="0"/>
          </reference>
          <reference field="1" count="1" selected="0">
            <x v="1"/>
          </reference>
        </references>
      </pivotArea>
    </chartFormat>
    <chartFormat chart="52" format="53">
      <pivotArea type="data" outline="0" fieldPosition="0">
        <references count="2">
          <reference field="4294967294" count="1" selected="0">
            <x v="0"/>
          </reference>
          <reference field="1" count="1" selected="0">
            <x v="7"/>
          </reference>
        </references>
      </pivotArea>
    </chartFormat>
    <chartFormat chart="52" format="54">
      <pivotArea type="data" outline="0" fieldPosition="0">
        <references count="2">
          <reference field="4294967294" count="1" selected="0">
            <x v="0"/>
          </reference>
          <reference field="1" count="1" selected="0">
            <x v="0"/>
          </reference>
        </references>
      </pivotArea>
    </chartFormat>
    <chartFormat chart="52" format="55" series="1">
      <pivotArea type="data" outline="0" fieldPosition="0">
        <references count="1">
          <reference field="4294967294" count="1" selected="0">
            <x v="1"/>
          </reference>
        </references>
      </pivotArea>
    </chartFormat>
    <chartFormat chart="52" format="56">
      <pivotArea type="data" outline="0" fieldPosition="0">
        <references count="2">
          <reference field="4294967294" count="1" selected="0">
            <x v="1"/>
          </reference>
          <reference field="1" count="1" selected="0">
            <x v="5"/>
          </reference>
        </references>
      </pivotArea>
    </chartFormat>
    <chartFormat chart="52" format="57">
      <pivotArea type="data" outline="0" fieldPosition="0">
        <references count="2">
          <reference field="4294967294" count="1" selected="0">
            <x v="1"/>
          </reference>
          <reference field="1" count="1" selected="0">
            <x v="3"/>
          </reference>
        </references>
      </pivotArea>
    </chartFormat>
    <chartFormat chart="52" format="58">
      <pivotArea type="data" outline="0" fieldPosition="0">
        <references count="2">
          <reference field="4294967294" count="1" selected="0">
            <x v="1"/>
          </reference>
          <reference field="1" count="1" selected="0">
            <x v="6"/>
          </reference>
        </references>
      </pivotArea>
    </chartFormat>
    <chartFormat chart="52" format="59">
      <pivotArea type="data" outline="0" fieldPosition="0">
        <references count="2">
          <reference field="4294967294" count="1" selected="0">
            <x v="1"/>
          </reference>
          <reference field="1" count="1" selected="0">
            <x v="4"/>
          </reference>
        </references>
      </pivotArea>
    </chartFormat>
    <chartFormat chart="52" format="60">
      <pivotArea type="data" outline="0" fieldPosition="0">
        <references count="2">
          <reference field="4294967294" count="1" selected="0">
            <x v="1"/>
          </reference>
          <reference field="1" count="1" selected="0">
            <x v="8"/>
          </reference>
        </references>
      </pivotArea>
    </chartFormat>
    <chartFormat chart="52" format="61">
      <pivotArea type="data" outline="0" fieldPosition="0">
        <references count="2">
          <reference field="4294967294" count="1" selected="0">
            <x v="1"/>
          </reference>
          <reference field="1" count="1" selected="0">
            <x v="2"/>
          </reference>
        </references>
      </pivotArea>
    </chartFormat>
    <chartFormat chart="52" format="62">
      <pivotArea type="data" outline="0" fieldPosition="0">
        <references count="2">
          <reference field="4294967294" count="1" selected="0">
            <x v="1"/>
          </reference>
          <reference field="1" count="1" selected="0">
            <x v="1"/>
          </reference>
        </references>
      </pivotArea>
    </chartFormat>
    <chartFormat chart="52" format="63">
      <pivotArea type="data" outline="0" fieldPosition="0">
        <references count="2">
          <reference field="4294967294" count="1" selected="0">
            <x v="1"/>
          </reference>
          <reference field="1" count="1" selected="0">
            <x v="7"/>
          </reference>
        </references>
      </pivotArea>
    </chartFormat>
    <chartFormat chart="52" format="64">
      <pivotArea type="data" outline="0" fieldPosition="0">
        <references count="2">
          <reference field="4294967294" count="1" selected="0">
            <x v="1"/>
          </reference>
          <reference field="1" count="1" selected="0">
            <x v="0"/>
          </reference>
        </references>
      </pivotArea>
    </chartFormat>
    <chartFormat chart="54" format="85" series="1">
      <pivotArea type="data" outline="0" fieldPosition="0">
        <references count="1">
          <reference field="4294967294" count="1" selected="0">
            <x v="0"/>
          </reference>
        </references>
      </pivotArea>
    </chartFormat>
    <chartFormat chart="54" format="86">
      <pivotArea type="data" outline="0" fieldPosition="0">
        <references count="2">
          <reference field="4294967294" count="1" selected="0">
            <x v="0"/>
          </reference>
          <reference field="1" count="1" selected="0">
            <x v="5"/>
          </reference>
        </references>
      </pivotArea>
    </chartFormat>
    <chartFormat chart="54" format="87">
      <pivotArea type="data" outline="0" fieldPosition="0">
        <references count="2">
          <reference field="4294967294" count="1" selected="0">
            <x v="0"/>
          </reference>
          <reference field="1" count="1" selected="0">
            <x v="3"/>
          </reference>
        </references>
      </pivotArea>
    </chartFormat>
    <chartFormat chart="54" format="88">
      <pivotArea type="data" outline="0" fieldPosition="0">
        <references count="2">
          <reference field="4294967294" count="1" selected="0">
            <x v="0"/>
          </reference>
          <reference field="1" count="1" selected="0">
            <x v="6"/>
          </reference>
        </references>
      </pivotArea>
    </chartFormat>
    <chartFormat chart="54" format="89">
      <pivotArea type="data" outline="0" fieldPosition="0">
        <references count="2">
          <reference field="4294967294" count="1" selected="0">
            <x v="0"/>
          </reference>
          <reference field="1" count="1" selected="0">
            <x v="4"/>
          </reference>
        </references>
      </pivotArea>
    </chartFormat>
    <chartFormat chart="54" format="90">
      <pivotArea type="data" outline="0" fieldPosition="0">
        <references count="2">
          <reference field="4294967294" count="1" selected="0">
            <x v="0"/>
          </reference>
          <reference field="1" count="1" selected="0">
            <x v="8"/>
          </reference>
        </references>
      </pivotArea>
    </chartFormat>
    <chartFormat chart="54" format="91">
      <pivotArea type="data" outline="0" fieldPosition="0">
        <references count="2">
          <reference field="4294967294" count="1" selected="0">
            <x v="0"/>
          </reference>
          <reference field="1" count="1" selected="0">
            <x v="2"/>
          </reference>
        </references>
      </pivotArea>
    </chartFormat>
    <chartFormat chart="54" format="92">
      <pivotArea type="data" outline="0" fieldPosition="0">
        <references count="2">
          <reference field="4294967294" count="1" selected="0">
            <x v="0"/>
          </reference>
          <reference field="1" count="1" selected="0">
            <x v="1"/>
          </reference>
        </references>
      </pivotArea>
    </chartFormat>
    <chartFormat chart="54" format="93">
      <pivotArea type="data" outline="0" fieldPosition="0">
        <references count="2">
          <reference field="4294967294" count="1" selected="0">
            <x v="0"/>
          </reference>
          <reference field="1" count="1" selected="0">
            <x v="7"/>
          </reference>
        </references>
      </pivotArea>
    </chartFormat>
    <chartFormat chart="54" format="94">
      <pivotArea type="data" outline="0" fieldPosition="0">
        <references count="2">
          <reference field="4294967294" count="1" selected="0">
            <x v="0"/>
          </reference>
          <reference field="1" count="1" selected="0">
            <x v="0"/>
          </reference>
        </references>
      </pivotArea>
    </chartFormat>
    <chartFormat chart="54" format="95" series="1">
      <pivotArea type="data" outline="0" fieldPosition="0">
        <references count="1">
          <reference field="4294967294" count="1" selected="0">
            <x v="1"/>
          </reference>
        </references>
      </pivotArea>
    </chartFormat>
    <chartFormat chart="54" format="96">
      <pivotArea type="data" outline="0" fieldPosition="0">
        <references count="2">
          <reference field="4294967294" count="1" selected="0">
            <x v="1"/>
          </reference>
          <reference field="1" count="1" selected="0">
            <x v="5"/>
          </reference>
        </references>
      </pivotArea>
    </chartFormat>
    <chartFormat chart="54" format="97">
      <pivotArea type="data" outline="0" fieldPosition="0">
        <references count="2">
          <reference field="4294967294" count="1" selected="0">
            <x v="1"/>
          </reference>
          <reference field="1" count="1" selected="0">
            <x v="3"/>
          </reference>
        </references>
      </pivotArea>
    </chartFormat>
    <chartFormat chart="54" format="98">
      <pivotArea type="data" outline="0" fieldPosition="0">
        <references count="2">
          <reference field="4294967294" count="1" selected="0">
            <x v="1"/>
          </reference>
          <reference field="1" count="1" selected="0">
            <x v="6"/>
          </reference>
        </references>
      </pivotArea>
    </chartFormat>
    <chartFormat chart="54" format="99">
      <pivotArea type="data" outline="0" fieldPosition="0">
        <references count="2">
          <reference field="4294967294" count="1" selected="0">
            <x v="1"/>
          </reference>
          <reference field="1" count="1" selected="0">
            <x v="4"/>
          </reference>
        </references>
      </pivotArea>
    </chartFormat>
    <chartFormat chart="54" format="100">
      <pivotArea type="data" outline="0" fieldPosition="0">
        <references count="2">
          <reference field="4294967294" count="1" selected="0">
            <x v="1"/>
          </reference>
          <reference field="1" count="1" selected="0">
            <x v="8"/>
          </reference>
        </references>
      </pivotArea>
    </chartFormat>
    <chartFormat chart="54" format="101">
      <pivotArea type="data" outline="0" fieldPosition="0">
        <references count="2">
          <reference field="4294967294" count="1" selected="0">
            <x v="1"/>
          </reference>
          <reference field="1" count="1" selected="0">
            <x v="2"/>
          </reference>
        </references>
      </pivotArea>
    </chartFormat>
    <chartFormat chart="54" format="102">
      <pivotArea type="data" outline="0" fieldPosition="0">
        <references count="2">
          <reference field="4294967294" count="1" selected="0">
            <x v="1"/>
          </reference>
          <reference field="1" count="1" selected="0">
            <x v="1"/>
          </reference>
        </references>
      </pivotArea>
    </chartFormat>
    <chartFormat chart="54" format="103">
      <pivotArea type="data" outline="0" fieldPosition="0">
        <references count="2">
          <reference field="4294967294" count="1" selected="0">
            <x v="1"/>
          </reference>
          <reference field="1" count="1" selected="0">
            <x v="7"/>
          </reference>
        </references>
      </pivotArea>
    </chartFormat>
    <chartFormat chart="54" format="104">
      <pivotArea type="data" outline="0" fieldPosition="0">
        <references count="2">
          <reference field="4294967294" count="1" selected="0">
            <x v="1"/>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FEAB13-95F2-4A66-AE83-743573EEF6F6}" name="PivotTable1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Products">
  <location ref="A13:C24" firstHeaderRow="0" firstDataRow="1" firstDataCol="1"/>
  <pivotFields count="5">
    <pivotField showAll="0"/>
    <pivotField axis="axisRow" showAll="0" sortType="descending">
      <items count="11">
        <item n="Macbook Air M2" x="1"/>
        <item n="Macbook Pro M2" x="2"/>
        <item n="VivoBook S15" x="7"/>
        <item x="9"/>
        <item x="8"/>
        <item n="IdeaPad Flex 5" x="3"/>
        <item n="ThinkPad X1" x="6"/>
        <item x="4"/>
        <item x="0"/>
        <item n="Galaxy Book Pro" x="5"/>
        <item t="default"/>
      </items>
      <autoSortScope>
        <pivotArea dataOnly="0" outline="0" fieldPosition="0">
          <references count="1">
            <reference field="4294967294" count="1" selected="0">
              <x v="0"/>
            </reference>
          </references>
        </pivotArea>
      </autoSortScope>
    </pivotField>
    <pivotField showAll="0"/>
    <pivotField dataField="1" numFmtId="164" showAll="0"/>
    <pivotField dataField="1" showAll="0"/>
  </pivotFields>
  <rowFields count="1">
    <field x="1"/>
  </rowFields>
  <rowItems count="11">
    <i>
      <x v="8"/>
    </i>
    <i>
      <x/>
    </i>
    <i>
      <x v="1"/>
    </i>
    <i>
      <x v="5"/>
    </i>
    <i>
      <x v="7"/>
    </i>
    <i>
      <x v="9"/>
    </i>
    <i>
      <x v="6"/>
    </i>
    <i>
      <x v="2"/>
    </i>
    <i>
      <x v="4"/>
    </i>
    <i>
      <x v="3"/>
    </i>
    <i t="grand">
      <x/>
    </i>
  </rowItems>
  <colFields count="1">
    <field x="-2"/>
  </colFields>
  <colItems count="2">
    <i>
      <x/>
    </i>
    <i i="1">
      <x v="1"/>
    </i>
  </colItems>
  <dataFields count="2">
    <dataField name="Revenue" fld="3" baseField="1" baseItem="7" numFmtId="167"/>
    <dataField name="Transactions" fld="4" baseField="0" baseItem="0"/>
  </dataFields>
  <chartFormats count="6">
    <chartFormat chart="12"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1"/>
          </reference>
        </references>
      </pivotArea>
    </chartFormat>
    <chartFormat chart="32" format="16" series="1">
      <pivotArea type="data" outline="0" fieldPosition="0">
        <references count="1">
          <reference field="4294967294" count="1" selected="0">
            <x v="0"/>
          </reference>
        </references>
      </pivotArea>
    </chartFormat>
    <chartFormat chart="32" format="17" series="1">
      <pivotArea type="data" outline="0" fieldPosition="0">
        <references count="1">
          <reference field="4294967294" count="1" selected="0">
            <x v="1"/>
          </reference>
        </references>
      </pivotArea>
    </chartFormat>
    <chartFormat chart="35" format="20" series="1">
      <pivotArea type="data" outline="0" fieldPosition="0">
        <references count="1">
          <reference field="4294967294" count="1" selected="0">
            <x v="0"/>
          </reference>
        </references>
      </pivotArea>
    </chartFormat>
    <chartFormat chart="35" format="2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39BD4E-587C-4232-A032-7EB82533DEAC}" name="PivotTable1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Year" colHeaderCaption="Sum of Annual_Revenue">
  <location ref="G2:N8" firstHeaderRow="1" firstDataRow="2" firstDataCol="1"/>
  <pivotFields count="5">
    <pivotField axis="axisRow" showAll="0">
      <items count="5">
        <item x="0"/>
        <item x="1"/>
        <item x="2"/>
        <item x="3"/>
        <item t="default"/>
      </items>
    </pivotField>
    <pivotField axis="axisCol"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numFmtId="164" showAll="0"/>
    <pivotField showAll="0"/>
    <pivotField showAll="0"/>
  </pivotFields>
  <rowFields count="1">
    <field x="0"/>
  </rowFields>
  <rowItems count="5">
    <i>
      <x/>
    </i>
    <i>
      <x v="1"/>
    </i>
    <i>
      <x v="2"/>
    </i>
    <i>
      <x v="3"/>
    </i>
    <i t="grand">
      <x/>
    </i>
  </rowItems>
  <colFields count="1">
    <field x="1"/>
  </colFields>
  <colItems count="7">
    <i>
      <x v="4"/>
    </i>
    <i>
      <x v="5"/>
    </i>
    <i>
      <x/>
    </i>
    <i>
      <x v="2"/>
    </i>
    <i>
      <x v="1"/>
    </i>
    <i>
      <x v="3"/>
    </i>
    <i t="grand">
      <x/>
    </i>
  </colItems>
  <dataFields count="1">
    <dataField name="Category Breakdown" fld="2" baseField="0" baseItem="0" numFmtId="164"/>
  </dataFields>
  <chartFormats count="16">
    <chartFormat chart="11" format="24" series="1">
      <pivotArea type="data" outline="0" fieldPosition="0">
        <references count="2">
          <reference field="4294967294" count="1" selected="0">
            <x v="0"/>
          </reference>
          <reference field="1" count="1" selected="0">
            <x v="4"/>
          </reference>
        </references>
      </pivotArea>
    </chartFormat>
    <chartFormat chart="11" format="25">
      <pivotArea type="data" outline="0" fieldPosition="0">
        <references count="3">
          <reference field="4294967294" count="1" selected="0">
            <x v="0"/>
          </reference>
          <reference field="0" count="1" selected="0">
            <x v="3"/>
          </reference>
          <reference field="1" count="1" selected="0">
            <x v="4"/>
          </reference>
        </references>
      </pivotArea>
    </chartFormat>
    <chartFormat chart="11" format="26" series="1">
      <pivotArea type="data" outline="0" fieldPosition="0">
        <references count="2">
          <reference field="4294967294" count="1" selected="0">
            <x v="0"/>
          </reference>
          <reference field="1" count="1" selected="0">
            <x v="5"/>
          </reference>
        </references>
      </pivotArea>
    </chartFormat>
    <chartFormat chart="11" format="27">
      <pivotArea type="data" outline="0" fieldPosition="0">
        <references count="3">
          <reference field="4294967294" count="1" selected="0">
            <x v="0"/>
          </reference>
          <reference field="0" count="1" selected="0">
            <x v="3"/>
          </reference>
          <reference field="1" count="1" selected="0">
            <x v="5"/>
          </reference>
        </references>
      </pivotArea>
    </chartFormat>
    <chartFormat chart="11" format="28" series="1">
      <pivotArea type="data" outline="0" fieldPosition="0">
        <references count="2">
          <reference field="4294967294" count="1" selected="0">
            <x v="0"/>
          </reference>
          <reference field="1" count="1" selected="0">
            <x v="0"/>
          </reference>
        </references>
      </pivotArea>
    </chartFormat>
    <chartFormat chart="11" format="29" series="1">
      <pivotArea type="data" outline="0" fieldPosition="0">
        <references count="2">
          <reference field="4294967294" count="1" selected="0">
            <x v="0"/>
          </reference>
          <reference field="1" count="1" selected="0">
            <x v="2"/>
          </reference>
        </references>
      </pivotArea>
    </chartFormat>
    <chartFormat chart="11" format="30" series="1">
      <pivotArea type="data" outline="0" fieldPosition="0">
        <references count="2">
          <reference field="4294967294" count="1" selected="0">
            <x v="0"/>
          </reference>
          <reference field="1" count="1" selected="0">
            <x v="1"/>
          </reference>
        </references>
      </pivotArea>
    </chartFormat>
    <chartFormat chart="11" format="31" series="1">
      <pivotArea type="data" outline="0" fieldPosition="0">
        <references count="2">
          <reference field="4294967294" count="1" selected="0">
            <x v="0"/>
          </reference>
          <reference field="1" count="1" selected="0">
            <x v="3"/>
          </reference>
        </references>
      </pivotArea>
    </chartFormat>
    <chartFormat chart="13" format="40" series="1">
      <pivotArea type="data" outline="0" fieldPosition="0">
        <references count="2">
          <reference field="4294967294" count="1" selected="0">
            <x v="0"/>
          </reference>
          <reference field="1" count="1" selected="0">
            <x v="4"/>
          </reference>
        </references>
      </pivotArea>
    </chartFormat>
    <chartFormat chart="13" format="41">
      <pivotArea type="data" outline="0" fieldPosition="0">
        <references count="3">
          <reference field="4294967294" count="1" selected="0">
            <x v="0"/>
          </reference>
          <reference field="0" count="1" selected="0">
            <x v="3"/>
          </reference>
          <reference field="1" count="1" selected="0">
            <x v="4"/>
          </reference>
        </references>
      </pivotArea>
    </chartFormat>
    <chartFormat chart="13" format="42" series="1">
      <pivotArea type="data" outline="0" fieldPosition="0">
        <references count="2">
          <reference field="4294967294" count="1" selected="0">
            <x v="0"/>
          </reference>
          <reference field="1" count="1" selected="0">
            <x v="5"/>
          </reference>
        </references>
      </pivotArea>
    </chartFormat>
    <chartFormat chart="13" format="43">
      <pivotArea type="data" outline="0" fieldPosition="0">
        <references count="3">
          <reference field="4294967294" count="1" selected="0">
            <x v="0"/>
          </reference>
          <reference field="0" count="1" selected="0">
            <x v="3"/>
          </reference>
          <reference field="1" count="1" selected="0">
            <x v="5"/>
          </reference>
        </references>
      </pivotArea>
    </chartFormat>
    <chartFormat chart="13" format="44" series="1">
      <pivotArea type="data" outline="0" fieldPosition="0">
        <references count="2">
          <reference field="4294967294" count="1" selected="0">
            <x v="0"/>
          </reference>
          <reference field="1" count="1" selected="0">
            <x v="0"/>
          </reference>
        </references>
      </pivotArea>
    </chartFormat>
    <chartFormat chart="13" format="45" series="1">
      <pivotArea type="data" outline="0" fieldPosition="0">
        <references count="2">
          <reference field="4294967294" count="1" selected="0">
            <x v="0"/>
          </reference>
          <reference field="1" count="1" selected="0">
            <x v="2"/>
          </reference>
        </references>
      </pivotArea>
    </chartFormat>
    <chartFormat chart="13" format="46" series="1">
      <pivotArea type="data" outline="0" fieldPosition="0">
        <references count="2">
          <reference field="4294967294" count="1" selected="0">
            <x v="0"/>
          </reference>
          <reference field="1" count="1" selected="0">
            <x v="1"/>
          </reference>
        </references>
      </pivotArea>
    </chartFormat>
    <chartFormat chart="13" format="47"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2C0F2925-002A-4FCF-895E-F795DA40B28F}" autoFormatId="16" applyNumberFormats="0" applyBorderFormats="0" applyFontFormats="0" applyPatternFormats="0" applyAlignmentFormats="0" applyWidthHeightFormats="0">
  <queryTableRefresh nextId="3">
    <queryTableFields count="2">
      <queryTableField id="1" name="Revenue_Month" tableColumnId="1"/>
      <queryTableField id="2" name="Monthly_Revenue"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A6A44412-9748-4D94-A4B3-750667F29A57}" autoFormatId="16" applyNumberFormats="0" applyBorderFormats="0" applyFontFormats="0" applyPatternFormats="0" applyAlignmentFormats="0" applyWidthHeightFormats="0">
  <queryTableRefresh nextId="6">
    <queryTableFields count="5">
      <queryTableField id="1" name="Revenue_Month" tableColumnId="1"/>
      <queryTableField id="2" name="Product_Category" tableColumnId="2"/>
      <queryTableField id="3" name="Transaction_Count" tableColumnId="3"/>
      <queryTableField id="4" name="Average_Transaction_Size" tableColumnId="4"/>
      <queryTableField id="5" name="Category_Revenu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FF9C76E9-D6DA-4738-83C6-930EA10D20FE}" autoFormatId="16" applyNumberFormats="0" applyBorderFormats="0" applyFontFormats="0" applyPatternFormats="0" applyAlignmentFormats="0" applyWidthHeightFormats="0">
  <queryTableRefresh nextId="7">
    <queryTableFields count="6">
      <queryTableField id="1" name="Store_ID" tableColumnId="1"/>
      <queryTableField id="2" name="Store_City" tableColumnId="2"/>
      <queryTableField id="3" name="Total_Revenue" tableColumnId="3"/>
      <queryTableField id="4" name="Transaction_Count" tableColumnId="4"/>
      <queryTableField id="5" name="Average_Transaction_Size" tableColumnId="5"/>
      <queryTableField id="6" name="Store_Rank"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4" xr16:uid="{8FC3C9C6-150F-45F6-80A4-7E894A80218E}" autoFormatId="16" applyNumberFormats="0" applyBorderFormats="0" applyFontFormats="0" applyPatternFormats="0" applyAlignmentFormats="0" applyWidthHeightFormats="0">
  <queryTableRefresh nextId="6">
    <queryTableFields count="5">
      <queryTableField id="1" name="ProdNum" tableColumnId="1"/>
      <queryTableField id="2" name="Product" tableColumnId="2"/>
      <queryTableField id="3" name="Product_Category" tableColumnId="3"/>
      <queryTableField id="4" name="Total_Revenue" tableColumnId="4"/>
      <queryTableField id="5" name="Transaction_Count"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6" xr16:uid="{1AFCF6ED-B87F-4C9F-B790-B00439F8B556}" autoFormatId="16" applyNumberFormats="0" applyBorderFormats="0" applyFontFormats="0" applyPatternFormats="0" applyAlignmentFormats="0" applyWidthHeightFormats="0">
  <queryTableRefresh nextId="6">
    <queryTableFields count="5">
      <queryTableField id="1" name="Year" tableColumnId="1"/>
      <queryTableField id="2" name="Product_Category" tableColumnId="2"/>
      <queryTableField id="3" name="Annual_Revenue" tableColumnId="3"/>
      <queryTableField id="4" name="Previous_Year_Revenue" tableColumnId="4"/>
      <queryTableField id="5" name="Revenue_Chang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Revenue_Month" xr10:uid="{95C50F6C-FE7D-4E93-9C0F-7316DF036A24}" sourceName="Years (Revenue_Month)">
  <pivotTables>
    <pivotTable tabId="4" name="PivotTable3"/>
  </pivotTables>
  <data>
    <tabular pivotCacheId="1720474548">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9FF36A5-5FD8-4993-8DE5-197DBC2360CB}" sourceName="Product_Category">
  <pivotTables>
    <pivotTable tabId="8" name="PivotTable13"/>
  </pivotTables>
  <data>
    <tabular pivotCacheId="1923160859">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Revenue_Month)" xr10:uid="{41FBAAD5-E450-41B6-9F60-B4B523C402B8}" cache="Slicer_Years__Revenue_Month" caption="Filter by Year" columnCount="4" style="Slicer Style 1" rowHeight="249238"/>
  <slicer name="Product_Category 1" xr10:uid="{718923A9-67EE-47D1-8B13-2A1568F88689}" cache="Slicer_Product_Category" caption="Filter by Category (YoY Trend)" columnCount="4" style="Slicer Style 1" rowHeight="24923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F80F32-830A-4B06-AFA8-87053E823232}" name="q2_Maryland_Monthly_Revenue" displayName="q2_Maryland_Monthly_Revenue" ref="A1:B49" tableType="queryTable" totalsRowShown="0" headerRowDxfId="45" headerRowBorderDxfId="44" tableBorderDxfId="43" totalsRowBorderDxfId="42">
  <autoFilter ref="A1:B49" xr:uid="{76F80F32-830A-4B06-AFA8-87053E823232}"/>
  <tableColumns count="2">
    <tableColumn id="1" xr3:uid="{F9221703-590B-48AE-B201-A6C80AECE114}" uniqueName="1" name="Revenue_Month" queryTableFieldId="1" dataDxfId="41"/>
    <tableColumn id="2" xr3:uid="{2171656C-6FAB-4A85-A1F7-31321BDBB536}" uniqueName="2" name="Monthly_Revenue" queryTableFieldId="2" dataDxfId="40"/>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3F4C8B-6764-43AA-A231-F03E863B0120}" name="q4_Maryland_Caetegory_Analysis" displayName="q4_Maryland_Caetegory_Analysis" ref="A1:E201" tableType="queryTable" totalsRowShown="0" headerRowDxfId="38" headerRowBorderDxfId="37" tableBorderDxfId="36" totalsRowBorderDxfId="35">
  <autoFilter ref="A1:E201" xr:uid="{EF3F4C8B-6764-43AA-A231-F03E863B0120}"/>
  <tableColumns count="5">
    <tableColumn id="1" xr3:uid="{75618513-0FF2-4092-8399-FE1E154ED96B}" uniqueName="1" name="Revenue_Month" queryTableFieldId="1" dataDxfId="34"/>
    <tableColumn id="2" xr3:uid="{1C7EA242-E19D-4C91-8EAD-B0D9CEF62767}" uniqueName="2" name="Product_Category" queryTableFieldId="2" dataDxfId="33"/>
    <tableColumn id="3" xr3:uid="{B92F9CC0-61CC-496F-9306-67238BFEA95C}" uniqueName="3" name="Transaction_Count" queryTableFieldId="3" dataDxfId="32"/>
    <tableColumn id="4" xr3:uid="{ED3D05BD-C264-4DBD-A1C4-DB241020725F}" uniqueName="4" name="Average_Transaction_Size" queryTableFieldId="4" dataDxfId="31"/>
    <tableColumn id="5" xr3:uid="{C29BA4AB-C700-4794-AAEA-89B3347EA3DD}" uniqueName="5" name="Category_Revenue" queryTableFieldId="5" dataDxfId="30"/>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06DB9F-D1A1-4DE0-8E13-7DB8869F9721}" name="q5_Maryland_Stores_Performance" displayName="q5_Maryland_Stores_Performance" ref="A1:F10" tableType="queryTable" totalsRowShown="0" headerRowDxfId="29" headerRowBorderDxfId="28" tableBorderDxfId="27" totalsRowBorderDxfId="26">
  <autoFilter ref="A1:F10" xr:uid="{2E06DB9F-D1A1-4DE0-8E13-7DB8869F9721}"/>
  <sortState xmlns:xlrd2="http://schemas.microsoft.com/office/spreadsheetml/2017/richdata2" ref="A2:F10">
    <sortCondition descending="1" ref="C1:C10"/>
  </sortState>
  <tableColumns count="6">
    <tableColumn id="1" xr3:uid="{C2DF307F-187F-4C45-94A9-ADD014282E3C}" uniqueName="1" name="Store_ID" queryTableFieldId="1" dataDxfId="25"/>
    <tableColumn id="2" xr3:uid="{DEEE6AB5-5FD1-445A-AE81-01F983842946}" uniqueName="2" name="Store_City" queryTableFieldId="2" dataDxfId="24"/>
    <tableColumn id="3" xr3:uid="{D2518D83-C130-4AA8-B3A4-9070B8072D37}" uniqueName="3" name="Total_Revenue" queryTableFieldId="3" dataDxfId="23"/>
    <tableColumn id="4" xr3:uid="{AA487E46-1E23-4C88-A915-236C8E727F53}" uniqueName="4" name="Transaction_Count" queryTableFieldId="4" dataDxfId="22"/>
    <tableColumn id="5" xr3:uid="{5D9B8CC2-8E42-421A-BB5B-A82F9E96FEBE}" uniqueName="5" name="Average_Transaction_Size" queryTableFieldId="5" dataDxfId="21"/>
    <tableColumn id="6" xr3:uid="{0B7A6DE9-8483-4826-BFE1-71B4C365F356}" uniqueName="6" name="Store_Rank" queryTableFieldId="6" dataDxfId="20"/>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DE98B13-9480-469F-8552-B87F383EBF30}" name="q6a_Maryland_Top_Products" displayName="q6a_Maryland_Top_Products" ref="A1:E11" tableType="queryTable" totalsRowShown="0" headerRowDxfId="19" headerRowBorderDxfId="18" tableBorderDxfId="17" totalsRowBorderDxfId="16">
  <autoFilter ref="A1:E11" xr:uid="{1DE98B13-9480-469F-8552-B87F383EBF30}"/>
  <tableColumns count="5">
    <tableColumn id="1" xr3:uid="{F666F391-3D66-485C-9440-AD2826E6DF1F}" uniqueName="1" name="ProdNum" queryTableFieldId="1" dataDxfId="15"/>
    <tableColumn id="2" xr3:uid="{BDC4EC05-A3FC-451C-8273-5EE86A147BA9}" uniqueName="2" name="Product" queryTableFieldId="2" dataDxfId="14"/>
    <tableColumn id="3" xr3:uid="{0FBC3317-680B-4E31-B1DD-D75C59104675}" uniqueName="3" name="Product_Category" queryTableFieldId="3" dataDxfId="13"/>
    <tableColumn id="4" xr3:uid="{F983E04E-EEAB-4E2D-BE54-72FF5B6E0507}" uniqueName="4" name="Total_Revenue" queryTableFieldId="4" dataDxfId="12"/>
    <tableColumn id="5" xr3:uid="{D43B9E64-C3DD-466D-9148-08FDA38621E3}" uniqueName="5" name="Transaction_Count" queryTableFieldId="5" dataDxfId="11"/>
  </tableColumns>
  <tableStyleInfo name="TableStyleMedium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2633242-CF36-4E67-B74F-4FA4B23C3848}" name="q6b_Maryland_Category_Revenue_Trend__2" displayName="q6b_Maryland_Category_Revenue_Trend__2" ref="A1:E25" tableType="queryTable" totalsRowShown="0" headerRowDxfId="10" headerRowBorderDxfId="9" tableBorderDxfId="8" totalsRowBorderDxfId="7">
  <autoFilter ref="A1:E25" xr:uid="{32633242-CF36-4E67-B74F-4FA4B23C3848}"/>
  <tableColumns count="5">
    <tableColumn id="1" xr3:uid="{29673EB4-AD19-4FC3-B447-CA46D43E9338}" uniqueName="1" name="Year" queryTableFieldId="1" dataDxfId="6"/>
    <tableColumn id="2" xr3:uid="{1D41B523-CCDB-4567-846D-754FDD3FF55E}" uniqueName="2" name="Product_Category" queryTableFieldId="2" dataDxfId="5"/>
    <tableColumn id="3" xr3:uid="{E99C7BD4-2361-4364-960F-C11CA8B4F19D}" uniqueName="3" name="Annual_Revenue" queryTableFieldId="3" dataDxfId="4"/>
    <tableColumn id="4" xr3:uid="{FA46DCC6-EDF8-4293-BDD9-B72436F0AB33}" uniqueName="4" name="Previous_Year_Revenue" queryTableFieldId="4" dataDxfId="3"/>
    <tableColumn id="5" xr3:uid="{0C754E4C-88AA-4D51-8072-66164E81B11F}" uniqueName="5" name="Revenue_Change" queryTableFieldId="5" dataDxfId="2"/>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FDC6A-E9D1-4F42-8950-E807A172703B}">
  <dimension ref="A1:V670"/>
  <sheetViews>
    <sheetView zoomScale="81" zoomScaleNormal="46" workbookViewId="0">
      <selection activeCell="Y18" sqref="Y18"/>
    </sheetView>
  </sheetViews>
  <sheetFormatPr defaultColWidth="8.59765625" defaultRowHeight="14.25" x14ac:dyDescent="0.45"/>
  <cols>
    <col min="1" max="1" width="0.9296875" style="33" customWidth="1"/>
    <col min="2" max="2" width="2.59765625" style="34" customWidth="1"/>
    <col min="3" max="3" width="1.59765625" style="34" customWidth="1"/>
    <col min="4" max="4" width="8.59765625" style="34" customWidth="1"/>
    <col min="5" max="5" width="13.6640625" style="34" bestFit="1" customWidth="1"/>
    <col min="6" max="6" width="8.59765625" style="34"/>
    <col min="7" max="7" width="2.59765625" style="34" customWidth="1"/>
    <col min="8" max="8" width="1.59765625" style="34" customWidth="1"/>
    <col min="9" max="11" width="8.59765625" style="34"/>
    <col min="12" max="12" width="2.59765625" style="34" customWidth="1"/>
    <col min="13" max="13" width="1.59765625" style="34" customWidth="1"/>
    <col min="14" max="16" width="8.59765625" style="34"/>
    <col min="17" max="17" width="2.59765625" style="34" customWidth="1"/>
    <col min="18" max="18" width="1.59765625" style="34" customWidth="1"/>
    <col min="19" max="16384" width="8.59765625" style="34"/>
  </cols>
  <sheetData>
    <row r="1" spans="1:22" ht="40.049999999999997" customHeight="1" x14ac:dyDescent="0.65">
      <c r="A1" s="32"/>
      <c r="B1" s="30" t="s">
        <v>73</v>
      </c>
      <c r="C1" s="29"/>
      <c r="D1" s="29"/>
      <c r="E1" s="29"/>
      <c r="F1" s="29"/>
      <c r="G1" s="29"/>
      <c r="H1" s="29"/>
      <c r="I1" s="29"/>
      <c r="J1" s="29"/>
      <c r="K1" s="29"/>
      <c r="L1" s="29"/>
      <c r="M1" s="29"/>
      <c r="N1" s="29"/>
      <c r="O1" s="29"/>
      <c r="P1" s="29"/>
      <c r="Q1" s="29"/>
      <c r="R1" s="29"/>
      <c r="S1" s="31" t="s">
        <v>71</v>
      </c>
      <c r="T1" s="29"/>
      <c r="U1" s="29"/>
      <c r="V1" s="29"/>
    </row>
    <row r="2" spans="1:22" ht="25.05" customHeight="1" x14ac:dyDescent="0.65">
      <c r="B2" s="31" t="s">
        <v>72</v>
      </c>
      <c r="C2" s="29"/>
      <c r="D2" s="29"/>
      <c r="E2" s="29"/>
      <c r="F2" s="29"/>
      <c r="G2" s="29"/>
      <c r="H2" s="29"/>
      <c r="I2" s="29"/>
      <c r="J2" s="29"/>
      <c r="K2" s="29"/>
      <c r="L2" s="29"/>
      <c r="M2" s="29"/>
      <c r="N2" s="29"/>
      <c r="O2" s="29"/>
      <c r="P2" s="29"/>
      <c r="Q2" s="29"/>
      <c r="R2" s="29"/>
      <c r="S2" s="29"/>
      <c r="T2" s="29"/>
      <c r="U2" s="29"/>
      <c r="V2" s="29"/>
    </row>
    <row r="3" spans="1:22" ht="12" customHeight="1" x14ac:dyDescent="0.65">
      <c r="B3" s="31"/>
      <c r="C3" s="29"/>
      <c r="D3" s="29"/>
      <c r="E3" s="29"/>
      <c r="F3" s="29"/>
      <c r="G3" s="29"/>
      <c r="H3" s="29"/>
      <c r="I3" s="29"/>
      <c r="J3" s="29"/>
      <c r="K3" s="29"/>
      <c r="L3" s="29"/>
      <c r="M3" s="29"/>
      <c r="N3" s="29"/>
      <c r="O3" s="29"/>
      <c r="P3" s="29"/>
      <c r="Q3" s="29"/>
      <c r="R3" s="29"/>
      <c r="S3" s="29"/>
      <c r="T3" s="29"/>
      <c r="U3" s="29"/>
      <c r="V3" s="29"/>
    </row>
    <row r="4" spans="1:22" ht="3" customHeight="1" x14ac:dyDescent="0.45">
      <c r="B4" s="40"/>
      <c r="C4" s="40"/>
      <c r="D4" s="40"/>
      <c r="E4" s="40"/>
      <c r="F4" s="40"/>
      <c r="G4" s="40"/>
      <c r="H4" s="40"/>
      <c r="I4" s="40"/>
      <c r="J4" s="40"/>
      <c r="K4" s="40"/>
      <c r="L4" s="40"/>
      <c r="M4" s="40"/>
      <c r="N4" s="40"/>
      <c r="O4" s="40"/>
      <c r="P4" s="40"/>
      <c r="Q4" s="40"/>
      <c r="R4" s="40"/>
      <c r="S4" s="40"/>
      <c r="T4" s="40"/>
      <c r="U4" s="41"/>
      <c r="V4" s="41"/>
    </row>
    <row r="5" spans="1:22" ht="12" customHeight="1" x14ac:dyDescent="0.45">
      <c r="B5" s="29"/>
      <c r="C5" s="29"/>
      <c r="D5" s="29"/>
      <c r="E5" s="29"/>
      <c r="F5" s="29"/>
      <c r="G5" s="29"/>
      <c r="H5" s="29"/>
      <c r="I5" s="29"/>
      <c r="J5" s="29"/>
      <c r="K5" s="29"/>
      <c r="L5" s="29"/>
      <c r="M5" s="29"/>
      <c r="N5" s="29"/>
      <c r="O5" s="29"/>
      <c r="P5" s="29"/>
      <c r="Q5" s="29"/>
      <c r="R5" s="29"/>
      <c r="S5" s="29"/>
      <c r="T5" s="29"/>
      <c r="U5" s="36"/>
      <c r="V5" s="36"/>
    </row>
    <row r="6" spans="1:22" ht="25.05" customHeight="1" x14ac:dyDescent="0.5">
      <c r="B6" s="29"/>
      <c r="C6" s="33"/>
      <c r="D6" s="42"/>
      <c r="E6" s="52" t="s">
        <v>74</v>
      </c>
      <c r="F6" s="53"/>
      <c r="G6" s="29"/>
      <c r="H6" s="37"/>
      <c r="I6" s="53"/>
      <c r="J6" s="60" t="s">
        <v>79</v>
      </c>
      <c r="K6" s="53"/>
      <c r="L6" s="29"/>
      <c r="M6" s="38"/>
      <c r="O6" s="63" t="s">
        <v>81</v>
      </c>
      <c r="Q6" s="29"/>
      <c r="R6" s="39"/>
      <c r="T6" s="64" t="s">
        <v>80</v>
      </c>
      <c r="U6" s="35"/>
      <c r="V6" s="36"/>
    </row>
    <row r="7" spans="1:22" ht="20" customHeight="1" x14ac:dyDescent="0.5">
      <c r="B7" s="29"/>
      <c r="C7" s="33"/>
      <c r="D7" s="43"/>
      <c r="E7" s="54">
        <v>11451615</v>
      </c>
      <c r="F7" s="53"/>
      <c r="G7" s="29"/>
      <c r="H7" s="37"/>
      <c r="I7" s="53"/>
      <c r="J7" s="61" t="s">
        <v>77</v>
      </c>
      <c r="K7" s="53"/>
      <c r="L7" s="29"/>
      <c r="M7" s="38"/>
      <c r="O7" s="61" t="s">
        <v>82</v>
      </c>
      <c r="Q7" s="29"/>
      <c r="R7" s="39"/>
      <c r="T7" s="61" t="s">
        <v>21</v>
      </c>
      <c r="U7" s="35"/>
      <c r="V7" s="36"/>
    </row>
    <row r="8" spans="1:22" ht="4.05" customHeight="1" x14ac:dyDescent="0.45">
      <c r="B8" s="29"/>
      <c r="C8" s="33"/>
      <c r="D8" s="55"/>
      <c r="E8" s="56"/>
      <c r="F8" s="53"/>
      <c r="G8" s="29"/>
      <c r="H8" s="37"/>
      <c r="I8" s="53"/>
      <c r="J8" s="53"/>
      <c r="K8" s="53"/>
      <c r="L8" s="29"/>
      <c r="M8" s="38"/>
      <c r="Q8" s="29"/>
      <c r="R8" s="39"/>
      <c r="U8" s="35"/>
      <c r="V8" s="36"/>
    </row>
    <row r="9" spans="1:22" s="46" customFormat="1" ht="16.05" customHeight="1" x14ac:dyDescent="0.45">
      <c r="A9" s="44"/>
      <c r="B9" s="45"/>
      <c r="C9" s="44"/>
      <c r="D9" s="57"/>
      <c r="E9" s="58" t="s">
        <v>76</v>
      </c>
      <c r="F9" s="59"/>
      <c r="G9" s="45"/>
      <c r="H9" s="47"/>
      <c r="I9" s="59"/>
      <c r="J9" s="62" t="s">
        <v>78</v>
      </c>
      <c r="K9" s="59"/>
      <c r="L9" s="45"/>
      <c r="M9" s="48"/>
      <c r="O9" s="58" t="s">
        <v>83</v>
      </c>
      <c r="Q9" s="45"/>
      <c r="R9" s="49"/>
      <c r="T9" s="58" t="s">
        <v>84</v>
      </c>
      <c r="U9" s="50"/>
      <c r="V9" s="51"/>
    </row>
    <row r="10" spans="1:22" ht="16.05" customHeight="1" x14ac:dyDescent="0.45">
      <c r="B10" s="29"/>
      <c r="C10" s="33"/>
      <c r="D10" s="53"/>
      <c r="E10" s="53"/>
      <c r="F10" s="53"/>
      <c r="G10" s="29"/>
      <c r="H10" s="37"/>
      <c r="I10" s="53"/>
      <c r="J10" s="53"/>
      <c r="K10" s="53"/>
      <c r="L10" s="29"/>
      <c r="M10" s="38"/>
      <c r="Q10" s="29"/>
      <c r="R10" s="39"/>
      <c r="U10" s="35"/>
      <c r="V10" s="36"/>
    </row>
    <row r="11" spans="1:22" x14ac:dyDescent="0.45">
      <c r="B11" s="29"/>
      <c r="C11" s="29"/>
      <c r="D11" s="29"/>
      <c r="E11" s="29"/>
      <c r="F11" s="29"/>
      <c r="G11" s="29"/>
      <c r="H11" s="29"/>
      <c r="I11" s="29"/>
      <c r="J11" s="29"/>
      <c r="K11" s="29"/>
      <c r="L11" s="29"/>
      <c r="M11" s="29"/>
      <c r="N11" s="29"/>
      <c r="O11" s="29"/>
      <c r="P11" s="29"/>
      <c r="Q11" s="29"/>
      <c r="R11" s="29"/>
      <c r="S11" s="29"/>
      <c r="T11" s="29"/>
      <c r="U11" s="36"/>
      <c r="V11" s="36"/>
    </row>
    <row r="12" spans="1:22" x14ac:dyDescent="0.45">
      <c r="B12" s="29"/>
      <c r="C12" s="29"/>
      <c r="D12" s="29"/>
      <c r="E12" s="29"/>
      <c r="F12" s="29"/>
      <c r="G12" s="29"/>
      <c r="H12" s="29"/>
      <c r="I12" s="29"/>
      <c r="J12" s="29"/>
      <c r="K12" s="29"/>
      <c r="L12" s="29"/>
      <c r="M12" s="29"/>
      <c r="N12" s="29"/>
      <c r="O12" s="29"/>
      <c r="P12" s="29"/>
      <c r="Q12" s="29"/>
      <c r="R12" s="29"/>
      <c r="S12" s="29"/>
      <c r="T12" s="29"/>
      <c r="U12" s="36"/>
      <c r="V12" s="36"/>
    </row>
    <row r="13" spans="1:22" x14ac:dyDescent="0.45">
      <c r="B13" s="29"/>
      <c r="C13" s="29"/>
      <c r="D13" s="29"/>
      <c r="E13" s="29"/>
      <c r="F13" s="29"/>
      <c r="G13" s="29"/>
      <c r="H13" s="29"/>
      <c r="I13" s="29"/>
      <c r="J13" s="29"/>
      <c r="K13" s="29"/>
      <c r="L13" s="29"/>
      <c r="M13" s="29"/>
      <c r="N13" s="29"/>
      <c r="O13" s="29"/>
      <c r="P13" s="29"/>
      <c r="Q13" s="29"/>
      <c r="R13" s="29"/>
      <c r="S13" s="29"/>
      <c r="T13" s="29"/>
      <c r="U13" s="36"/>
      <c r="V13" s="36"/>
    </row>
    <row r="14" spans="1:22" x14ac:dyDescent="0.45">
      <c r="B14" s="29"/>
      <c r="C14" s="29"/>
      <c r="D14" s="29"/>
      <c r="E14" s="29"/>
      <c r="F14" s="29"/>
      <c r="G14" s="29"/>
      <c r="H14" s="29"/>
      <c r="I14" s="29"/>
      <c r="J14" s="29"/>
      <c r="K14" s="29"/>
      <c r="L14" s="29"/>
      <c r="M14" s="29"/>
      <c r="N14" s="29"/>
      <c r="O14" s="29"/>
      <c r="P14" s="29"/>
      <c r="Q14" s="36"/>
      <c r="R14" s="29"/>
      <c r="S14" s="29"/>
      <c r="T14" s="29"/>
      <c r="U14" s="36"/>
      <c r="V14" s="36"/>
    </row>
    <row r="15" spans="1:22" x14ac:dyDescent="0.45">
      <c r="B15" s="29"/>
      <c r="C15" s="29"/>
      <c r="D15" s="29"/>
      <c r="E15" s="29"/>
      <c r="F15" s="29"/>
      <c r="G15" s="29"/>
      <c r="H15" s="29"/>
      <c r="I15" s="29"/>
      <c r="J15" s="29"/>
      <c r="K15" s="29"/>
      <c r="L15" s="29"/>
      <c r="M15" s="29"/>
      <c r="N15" s="29"/>
      <c r="O15" s="29"/>
      <c r="P15" s="29"/>
      <c r="Q15" s="29"/>
      <c r="R15" s="29"/>
      <c r="S15" s="29"/>
      <c r="T15" s="29"/>
      <c r="U15" s="36"/>
      <c r="V15" s="36"/>
    </row>
    <row r="16" spans="1:22" x14ac:dyDescent="0.45">
      <c r="B16" s="29"/>
      <c r="C16" s="29"/>
      <c r="D16" s="29"/>
      <c r="E16" s="29"/>
      <c r="F16" s="29"/>
      <c r="G16" s="29"/>
      <c r="H16" s="29"/>
      <c r="I16" s="29"/>
      <c r="J16" s="29"/>
      <c r="K16" s="29"/>
      <c r="L16" s="29"/>
      <c r="M16" s="29"/>
      <c r="N16" s="29"/>
      <c r="O16" s="29"/>
      <c r="P16" s="29"/>
      <c r="Q16" s="29"/>
      <c r="R16" s="29"/>
      <c r="S16" s="29"/>
      <c r="T16" s="29"/>
      <c r="U16" s="36"/>
      <c r="V16" s="36"/>
    </row>
    <row r="17" spans="2:22" x14ac:dyDescent="0.45">
      <c r="B17" s="29"/>
      <c r="C17" s="29"/>
      <c r="D17" s="29"/>
      <c r="E17" s="29"/>
      <c r="F17" s="29"/>
      <c r="G17" s="29"/>
      <c r="H17" s="29"/>
      <c r="I17" s="29"/>
      <c r="J17" s="29"/>
      <c r="K17" s="29"/>
      <c r="L17" s="29"/>
      <c r="M17" s="29"/>
      <c r="N17" s="29"/>
      <c r="O17" s="29"/>
      <c r="P17" s="29"/>
      <c r="Q17" s="29"/>
      <c r="R17" s="29"/>
      <c r="S17" s="29"/>
      <c r="T17" s="29"/>
      <c r="U17" s="36"/>
      <c r="V17" s="36"/>
    </row>
    <row r="18" spans="2:22" x14ac:dyDescent="0.45">
      <c r="B18" s="29"/>
      <c r="C18" s="29"/>
      <c r="D18" s="29"/>
      <c r="E18" s="29"/>
      <c r="F18" s="29"/>
      <c r="G18" s="29"/>
      <c r="H18" s="29"/>
      <c r="I18" s="29"/>
      <c r="J18" s="29"/>
      <c r="K18" s="29"/>
      <c r="L18" s="29"/>
      <c r="M18" s="29"/>
      <c r="N18" s="29"/>
      <c r="O18" s="29"/>
      <c r="P18" s="29"/>
      <c r="Q18" s="29"/>
      <c r="R18" s="29"/>
      <c r="S18" s="29"/>
      <c r="T18" s="29"/>
      <c r="U18" s="36"/>
      <c r="V18" s="36"/>
    </row>
    <row r="19" spans="2:22" x14ac:dyDescent="0.45">
      <c r="B19" s="29"/>
      <c r="C19" s="29"/>
      <c r="D19" s="29"/>
      <c r="E19" s="29"/>
      <c r="F19" s="29"/>
      <c r="G19" s="29"/>
      <c r="H19" s="29"/>
      <c r="I19" s="29"/>
      <c r="J19" s="29"/>
      <c r="K19" s="29"/>
      <c r="L19" s="29"/>
      <c r="M19" s="29"/>
      <c r="N19" s="29"/>
      <c r="O19" s="29"/>
      <c r="P19" s="29"/>
      <c r="Q19" s="29"/>
      <c r="R19" s="29"/>
      <c r="S19" s="29"/>
      <c r="T19" s="29"/>
      <c r="U19" s="36"/>
      <c r="V19" s="36"/>
    </row>
    <row r="20" spans="2:22" x14ac:dyDescent="0.45">
      <c r="B20" s="29"/>
      <c r="C20" s="29"/>
      <c r="D20" s="29"/>
      <c r="E20" s="29"/>
      <c r="F20" s="29"/>
      <c r="G20" s="29"/>
      <c r="H20" s="29"/>
      <c r="I20" s="29"/>
      <c r="J20" s="29"/>
      <c r="K20" s="29"/>
      <c r="L20" s="29"/>
      <c r="M20" s="29"/>
      <c r="N20" s="29"/>
      <c r="O20" s="29"/>
      <c r="P20" s="29"/>
      <c r="Q20" s="29"/>
      <c r="R20" s="29"/>
      <c r="S20" s="29"/>
      <c r="T20" s="29"/>
      <c r="U20" s="36"/>
      <c r="V20" s="36"/>
    </row>
    <row r="21" spans="2:22" x14ac:dyDescent="0.45">
      <c r="B21" s="29"/>
      <c r="C21" s="29"/>
      <c r="D21" s="29"/>
      <c r="E21" s="29"/>
      <c r="F21" s="29"/>
      <c r="G21" s="29"/>
      <c r="H21" s="29"/>
      <c r="I21" s="29"/>
      <c r="J21" s="29"/>
      <c r="K21" s="29"/>
      <c r="L21" s="29"/>
      <c r="M21" s="29"/>
      <c r="N21" s="29"/>
      <c r="O21" s="29"/>
      <c r="P21" s="29"/>
      <c r="Q21" s="29"/>
      <c r="R21" s="29"/>
      <c r="S21" s="29"/>
      <c r="T21" s="29"/>
      <c r="U21" s="36"/>
      <c r="V21" s="36"/>
    </row>
    <row r="22" spans="2:22" x14ac:dyDescent="0.45">
      <c r="B22" s="29"/>
      <c r="C22" s="29"/>
      <c r="D22" s="29"/>
      <c r="E22" s="29"/>
      <c r="F22" s="29"/>
      <c r="G22" s="29"/>
      <c r="H22" s="29"/>
      <c r="I22" s="29"/>
      <c r="J22" s="29"/>
      <c r="K22" s="29"/>
      <c r="L22" s="29"/>
      <c r="M22" s="29"/>
      <c r="N22" s="29"/>
      <c r="O22" s="29"/>
      <c r="P22" s="29"/>
      <c r="Q22" s="29"/>
      <c r="R22" s="29"/>
      <c r="S22" s="29"/>
      <c r="T22" s="29"/>
      <c r="U22" s="36"/>
      <c r="V22" s="36"/>
    </row>
    <row r="23" spans="2:22" x14ac:dyDescent="0.45">
      <c r="B23" s="29"/>
      <c r="C23" s="29"/>
      <c r="D23" s="29"/>
      <c r="E23" s="29"/>
      <c r="F23" s="29"/>
      <c r="G23" s="29"/>
      <c r="H23" s="29"/>
      <c r="I23" s="29"/>
      <c r="J23" s="29"/>
      <c r="K23" s="29"/>
      <c r="L23" s="29"/>
      <c r="M23" s="29"/>
      <c r="N23" s="29"/>
      <c r="O23" s="29"/>
      <c r="P23" s="29"/>
      <c r="Q23" s="29"/>
      <c r="R23" s="29"/>
      <c r="S23" s="29"/>
      <c r="T23" s="29"/>
      <c r="U23" s="36"/>
      <c r="V23" s="36"/>
    </row>
    <row r="24" spans="2:22" x14ac:dyDescent="0.45">
      <c r="B24" s="29"/>
      <c r="C24" s="29"/>
      <c r="D24" s="29"/>
      <c r="E24" s="29"/>
      <c r="F24" s="29"/>
      <c r="G24" s="29"/>
      <c r="H24" s="29"/>
      <c r="I24" s="29"/>
      <c r="J24" s="29"/>
      <c r="K24" s="29"/>
      <c r="L24" s="29"/>
      <c r="M24" s="29"/>
      <c r="N24" s="29"/>
      <c r="O24" s="29"/>
      <c r="P24" s="29"/>
      <c r="Q24" s="29"/>
      <c r="R24" s="29"/>
      <c r="S24" s="29"/>
      <c r="T24" s="29"/>
      <c r="U24" s="36"/>
      <c r="V24" s="36"/>
    </row>
    <row r="25" spans="2:22" x14ac:dyDescent="0.45">
      <c r="B25" s="29"/>
      <c r="C25" s="29"/>
      <c r="D25" s="29"/>
      <c r="E25" s="29"/>
      <c r="F25" s="29"/>
      <c r="G25" s="29"/>
      <c r="H25" s="29"/>
      <c r="I25" s="29"/>
      <c r="J25" s="29"/>
      <c r="K25" s="29"/>
      <c r="L25" s="29"/>
      <c r="M25" s="29"/>
      <c r="N25" s="29"/>
      <c r="O25" s="29"/>
      <c r="P25" s="29"/>
      <c r="Q25" s="29"/>
      <c r="R25" s="29"/>
      <c r="S25" s="29"/>
      <c r="T25" s="29"/>
      <c r="U25" s="36"/>
      <c r="V25" s="36"/>
    </row>
    <row r="26" spans="2:22" x14ac:dyDescent="0.45">
      <c r="B26" s="29"/>
      <c r="C26" s="29"/>
      <c r="D26" s="29"/>
      <c r="E26" s="29" t="s">
        <v>75</v>
      </c>
      <c r="F26" s="29"/>
      <c r="G26" s="29"/>
      <c r="H26" s="29"/>
      <c r="I26" s="29"/>
      <c r="J26" s="29"/>
      <c r="K26" s="29"/>
      <c r="L26" s="29"/>
      <c r="M26" s="29"/>
      <c r="N26" s="29"/>
      <c r="O26" s="29"/>
      <c r="P26" s="29"/>
      <c r="Q26" s="29"/>
      <c r="R26" s="29"/>
      <c r="S26" s="29"/>
      <c r="T26" s="29"/>
      <c r="U26" s="36"/>
      <c r="V26" s="36"/>
    </row>
    <row r="27" spans="2:22" x14ac:dyDescent="0.45">
      <c r="B27" s="29"/>
      <c r="C27" s="29"/>
      <c r="D27" s="29"/>
      <c r="E27" s="29"/>
      <c r="F27" s="29"/>
      <c r="G27" s="29"/>
      <c r="H27" s="29"/>
      <c r="I27" s="29"/>
      <c r="J27" s="29"/>
      <c r="K27" s="29"/>
      <c r="L27" s="29"/>
      <c r="M27" s="29"/>
      <c r="N27" s="29"/>
      <c r="O27" s="29"/>
      <c r="P27" s="29"/>
      <c r="Q27" s="29"/>
      <c r="R27" s="29"/>
      <c r="S27" s="29"/>
      <c r="T27" s="29"/>
      <c r="U27" s="36"/>
      <c r="V27" s="36"/>
    </row>
    <row r="28" spans="2:22" x14ac:dyDescent="0.45">
      <c r="B28" s="29"/>
      <c r="C28" s="29"/>
      <c r="D28" s="29"/>
      <c r="E28" s="29"/>
      <c r="F28" s="29"/>
      <c r="G28" s="29"/>
      <c r="H28" s="29"/>
      <c r="I28" s="29"/>
      <c r="J28" s="29"/>
      <c r="K28" s="29"/>
      <c r="L28" s="29"/>
      <c r="M28" s="29"/>
      <c r="N28" s="29"/>
      <c r="O28" s="29"/>
      <c r="P28" s="29"/>
      <c r="Q28" s="29"/>
      <c r="R28" s="29"/>
      <c r="S28" s="29"/>
      <c r="T28" s="29"/>
      <c r="U28" s="36"/>
      <c r="V28" s="36"/>
    </row>
    <row r="29" spans="2:22" x14ac:dyDescent="0.45">
      <c r="B29" s="29"/>
      <c r="C29" s="29"/>
      <c r="D29" s="29"/>
      <c r="E29" s="29"/>
      <c r="F29" s="29"/>
      <c r="G29" s="29"/>
      <c r="H29" s="29"/>
      <c r="I29" s="29"/>
      <c r="J29" s="29"/>
      <c r="K29" s="29"/>
      <c r="L29" s="29"/>
      <c r="M29" s="29"/>
      <c r="N29" s="29"/>
      <c r="O29" s="29"/>
      <c r="P29" s="29"/>
      <c r="Q29" s="29"/>
      <c r="R29" s="29"/>
      <c r="S29" s="29"/>
      <c r="T29" s="29"/>
      <c r="U29" s="36"/>
      <c r="V29" s="36"/>
    </row>
    <row r="30" spans="2:22" x14ac:dyDescent="0.45">
      <c r="B30" s="29"/>
      <c r="C30" s="29"/>
      <c r="D30" s="29"/>
      <c r="E30" s="29"/>
      <c r="F30" s="29"/>
      <c r="G30" s="29"/>
      <c r="H30" s="29"/>
      <c r="I30" s="29"/>
      <c r="J30" s="29"/>
      <c r="K30" s="29"/>
      <c r="L30" s="29"/>
      <c r="M30" s="29"/>
      <c r="N30" s="29"/>
      <c r="O30" s="29"/>
      <c r="P30" s="29"/>
      <c r="Q30" s="29"/>
      <c r="R30" s="29"/>
      <c r="S30" s="29"/>
      <c r="T30" s="29"/>
      <c r="U30" s="36"/>
      <c r="V30" s="36"/>
    </row>
    <row r="31" spans="2:22" x14ac:dyDescent="0.45">
      <c r="B31" s="29"/>
      <c r="C31" s="29"/>
      <c r="D31" s="29"/>
      <c r="E31" s="29"/>
      <c r="F31" s="29"/>
      <c r="G31" s="29"/>
      <c r="H31" s="29"/>
      <c r="I31" s="29"/>
      <c r="J31" s="29"/>
      <c r="K31" s="29"/>
      <c r="L31" s="29"/>
      <c r="M31" s="29"/>
      <c r="N31" s="29"/>
      <c r="O31" s="29"/>
      <c r="P31" s="29"/>
      <c r="Q31" s="29"/>
      <c r="R31" s="29"/>
      <c r="S31" s="29"/>
      <c r="T31" s="29"/>
      <c r="U31" s="36"/>
      <c r="V31" s="36"/>
    </row>
    <row r="32" spans="2:22" x14ac:dyDescent="0.45">
      <c r="B32" s="29"/>
      <c r="C32" s="29"/>
      <c r="D32" s="29"/>
      <c r="E32" s="29"/>
      <c r="F32" s="29"/>
      <c r="G32" s="29"/>
      <c r="H32" s="29"/>
      <c r="I32" s="29"/>
      <c r="J32" s="29"/>
      <c r="K32" s="29"/>
      <c r="L32" s="29"/>
      <c r="M32" s="29"/>
      <c r="N32" s="29"/>
      <c r="O32" s="29"/>
      <c r="P32" s="29"/>
      <c r="Q32" s="29"/>
      <c r="R32" s="29"/>
      <c r="S32" s="29"/>
      <c r="T32" s="29"/>
      <c r="U32" s="36"/>
      <c r="V32" s="36"/>
    </row>
    <row r="33" spans="2:22" x14ac:dyDescent="0.45">
      <c r="B33" s="29"/>
      <c r="C33" s="29"/>
      <c r="D33" s="29"/>
      <c r="E33" s="29"/>
      <c r="F33" s="29"/>
      <c r="G33" s="29"/>
      <c r="H33" s="29"/>
      <c r="I33" s="29"/>
      <c r="J33" s="29"/>
      <c r="K33" s="29"/>
      <c r="L33" s="29"/>
      <c r="M33" s="29"/>
      <c r="N33" s="29"/>
      <c r="O33" s="29"/>
      <c r="P33" s="29"/>
      <c r="Q33" s="29"/>
      <c r="R33" s="29"/>
      <c r="S33" s="29"/>
      <c r="T33" s="29"/>
      <c r="U33" s="36"/>
      <c r="V33" s="36"/>
    </row>
    <row r="34" spans="2:22" x14ac:dyDescent="0.45">
      <c r="B34" s="29"/>
      <c r="C34" s="29"/>
      <c r="D34" s="29"/>
      <c r="E34" s="29"/>
      <c r="F34" s="29"/>
      <c r="G34" s="29"/>
      <c r="H34" s="29"/>
      <c r="I34" s="29"/>
      <c r="J34" s="29"/>
      <c r="K34" s="29"/>
      <c r="L34" s="29"/>
      <c r="M34" s="29"/>
      <c r="N34" s="29"/>
      <c r="O34" s="29"/>
      <c r="P34" s="29"/>
      <c r="Q34" s="29"/>
      <c r="R34" s="29"/>
      <c r="S34" s="29"/>
      <c r="T34" s="29"/>
      <c r="U34" s="36"/>
      <c r="V34" s="36"/>
    </row>
    <row r="35" spans="2:22" x14ac:dyDescent="0.45">
      <c r="B35" s="29"/>
      <c r="C35" s="29"/>
      <c r="D35" s="29"/>
      <c r="E35" s="29"/>
      <c r="F35" s="29"/>
      <c r="G35" s="29"/>
      <c r="H35" s="29"/>
      <c r="I35" s="29"/>
      <c r="J35" s="29"/>
      <c r="K35" s="29"/>
      <c r="L35" s="29"/>
      <c r="M35" s="29"/>
      <c r="N35" s="29"/>
      <c r="O35" s="29"/>
      <c r="P35" s="29"/>
      <c r="Q35" s="29"/>
      <c r="R35" s="29"/>
      <c r="S35" s="29"/>
      <c r="T35" s="29"/>
      <c r="U35" s="36"/>
      <c r="V35" s="36"/>
    </row>
    <row r="36" spans="2:22" x14ac:dyDescent="0.45">
      <c r="B36" s="29"/>
      <c r="C36" s="29"/>
      <c r="D36" s="29"/>
      <c r="E36" s="29"/>
      <c r="F36" s="29"/>
      <c r="G36" s="29"/>
      <c r="H36" s="29"/>
      <c r="I36" s="29"/>
      <c r="J36" s="29"/>
      <c r="K36" s="29"/>
      <c r="L36" s="29"/>
      <c r="M36" s="29"/>
      <c r="N36" s="29"/>
      <c r="O36" s="29"/>
      <c r="P36" s="29"/>
      <c r="Q36" s="29"/>
      <c r="R36" s="29"/>
      <c r="S36" s="29"/>
      <c r="T36" s="29"/>
      <c r="U36" s="36"/>
      <c r="V36" s="36"/>
    </row>
    <row r="37" spans="2:22" x14ac:dyDescent="0.45">
      <c r="B37" s="29"/>
      <c r="C37" s="29"/>
      <c r="D37" s="29"/>
      <c r="E37" s="29"/>
      <c r="F37" s="29"/>
      <c r="G37" s="29"/>
      <c r="H37" s="29"/>
      <c r="I37" s="29"/>
      <c r="J37" s="29"/>
      <c r="K37" s="29"/>
      <c r="L37" s="29"/>
      <c r="M37" s="29"/>
      <c r="N37" s="29"/>
      <c r="O37" s="29"/>
      <c r="P37" s="29"/>
      <c r="Q37" s="29"/>
      <c r="R37" s="29"/>
      <c r="S37" s="29"/>
      <c r="T37" s="29"/>
      <c r="U37" s="36"/>
      <c r="V37" s="36"/>
    </row>
    <row r="38" spans="2:22" x14ac:dyDescent="0.45">
      <c r="B38" s="29"/>
      <c r="C38" s="29"/>
      <c r="D38" s="29"/>
      <c r="E38" s="29"/>
      <c r="F38" s="29"/>
      <c r="G38" s="29"/>
      <c r="H38" s="29"/>
      <c r="I38" s="29"/>
      <c r="J38" s="29"/>
      <c r="K38" s="29"/>
      <c r="L38" s="29"/>
      <c r="M38" s="29"/>
      <c r="N38" s="29"/>
      <c r="O38" s="29"/>
      <c r="P38" s="29"/>
      <c r="Q38" s="29"/>
      <c r="R38" s="29"/>
      <c r="S38" s="29"/>
      <c r="T38" s="29"/>
      <c r="U38" s="36"/>
      <c r="V38" s="36"/>
    </row>
    <row r="39" spans="2:22" x14ac:dyDescent="0.45">
      <c r="B39" s="29"/>
      <c r="C39" s="29"/>
      <c r="D39" s="29"/>
      <c r="E39" s="29"/>
      <c r="F39" s="29"/>
      <c r="G39" s="29"/>
      <c r="H39" s="29"/>
      <c r="I39" s="29"/>
      <c r="J39" s="29"/>
      <c r="K39" s="29"/>
      <c r="L39" s="29"/>
      <c r="M39" s="29"/>
      <c r="N39" s="29"/>
      <c r="O39" s="29"/>
      <c r="P39" s="29"/>
      <c r="Q39" s="29"/>
      <c r="R39" s="29"/>
      <c r="S39" s="29"/>
      <c r="T39" s="29"/>
      <c r="U39" s="36"/>
      <c r="V39" s="36"/>
    </row>
    <row r="40" spans="2:22" x14ac:dyDescent="0.45">
      <c r="B40" s="29"/>
      <c r="C40" s="29"/>
      <c r="D40" s="29"/>
      <c r="E40" s="29"/>
      <c r="F40" s="29"/>
      <c r="G40" s="29"/>
      <c r="H40" s="29"/>
      <c r="I40" s="29"/>
      <c r="J40" s="29"/>
      <c r="K40" s="29"/>
      <c r="L40" s="29"/>
      <c r="M40" s="29"/>
      <c r="N40" s="29"/>
      <c r="O40" s="29"/>
      <c r="P40" s="29"/>
      <c r="Q40" s="29"/>
      <c r="R40" s="29"/>
      <c r="S40" s="29"/>
      <c r="T40" s="29"/>
      <c r="U40" s="36"/>
      <c r="V40" s="36"/>
    </row>
    <row r="41" spans="2:22" x14ac:dyDescent="0.45">
      <c r="B41" s="29"/>
      <c r="C41" s="29"/>
      <c r="D41" s="29"/>
      <c r="E41" s="29"/>
      <c r="F41" s="29"/>
      <c r="G41" s="29"/>
      <c r="H41" s="29"/>
      <c r="I41" s="29"/>
      <c r="J41" s="29"/>
      <c r="K41" s="29"/>
      <c r="L41" s="29"/>
      <c r="M41" s="29"/>
      <c r="N41" s="29"/>
      <c r="O41" s="29"/>
      <c r="P41" s="29"/>
      <c r="Q41" s="29"/>
      <c r="R41" s="29"/>
      <c r="S41" s="29"/>
      <c r="T41" s="29"/>
      <c r="U41" s="36"/>
      <c r="V41" s="36"/>
    </row>
    <row r="42" spans="2:22" x14ac:dyDescent="0.45">
      <c r="B42" s="29"/>
      <c r="C42" s="29"/>
      <c r="D42" s="29"/>
      <c r="E42" s="29"/>
      <c r="F42" s="29"/>
      <c r="G42" s="29"/>
      <c r="H42" s="29"/>
      <c r="I42" s="29"/>
      <c r="J42" s="29"/>
      <c r="K42" s="29"/>
      <c r="L42" s="29"/>
      <c r="M42" s="29"/>
      <c r="N42" s="29"/>
      <c r="O42" s="29"/>
      <c r="P42" s="29"/>
      <c r="Q42" s="29"/>
      <c r="R42" s="29"/>
      <c r="S42" s="29"/>
      <c r="T42" s="29"/>
      <c r="U42" s="36"/>
      <c r="V42" s="36"/>
    </row>
    <row r="43" spans="2:22" x14ac:dyDescent="0.45">
      <c r="B43" s="29"/>
      <c r="C43" s="29"/>
      <c r="D43" s="29"/>
      <c r="E43" s="29"/>
      <c r="F43" s="29"/>
      <c r="G43" s="29"/>
      <c r="H43" s="29"/>
      <c r="I43" s="29"/>
      <c r="J43" s="29"/>
      <c r="K43" s="29"/>
      <c r="L43" s="29"/>
      <c r="M43" s="29"/>
      <c r="N43" s="29"/>
      <c r="O43" s="29"/>
      <c r="P43" s="29"/>
      <c r="Q43" s="29"/>
      <c r="R43" s="29"/>
      <c r="S43" s="29"/>
      <c r="T43" s="29"/>
      <c r="U43" s="36"/>
      <c r="V43" s="36"/>
    </row>
    <row r="44" spans="2:22" x14ac:dyDescent="0.45">
      <c r="B44" s="29"/>
      <c r="C44" s="29"/>
      <c r="D44" s="29"/>
      <c r="E44" s="29"/>
      <c r="F44" s="29"/>
      <c r="G44" s="29"/>
      <c r="H44" s="29"/>
      <c r="I44" s="29"/>
      <c r="J44" s="29"/>
      <c r="K44" s="29"/>
      <c r="L44" s="29"/>
      <c r="M44" s="29"/>
      <c r="N44" s="29"/>
      <c r="O44" s="29"/>
      <c r="P44" s="29"/>
      <c r="Q44" s="29"/>
      <c r="R44" s="29"/>
      <c r="S44" s="29"/>
      <c r="T44" s="29"/>
      <c r="U44" s="36"/>
      <c r="V44" s="36"/>
    </row>
    <row r="45" spans="2:22" x14ac:dyDescent="0.45">
      <c r="B45" s="29"/>
      <c r="C45" s="29"/>
      <c r="D45" s="29"/>
      <c r="E45" s="29"/>
      <c r="F45" s="29"/>
      <c r="G45" s="29"/>
      <c r="H45" s="29"/>
      <c r="I45" s="29"/>
      <c r="J45" s="29"/>
      <c r="K45" s="29"/>
      <c r="L45" s="29"/>
      <c r="M45" s="29"/>
      <c r="N45" s="29"/>
      <c r="O45" s="29"/>
      <c r="P45" s="29"/>
      <c r="Q45" s="29"/>
      <c r="R45" s="29"/>
      <c r="S45" s="29"/>
      <c r="T45" s="29"/>
      <c r="U45" s="36"/>
      <c r="V45" s="36"/>
    </row>
    <row r="46" spans="2:22" x14ac:dyDescent="0.45">
      <c r="B46" s="29"/>
      <c r="C46" s="29"/>
      <c r="D46" s="29"/>
      <c r="E46" s="29"/>
      <c r="F46" s="29"/>
      <c r="G46" s="29"/>
      <c r="H46" s="29"/>
      <c r="I46" s="29"/>
      <c r="J46" s="29"/>
      <c r="K46" s="29"/>
      <c r="L46" s="29"/>
      <c r="M46" s="29"/>
      <c r="N46" s="29"/>
      <c r="O46" s="29"/>
      <c r="P46" s="29"/>
      <c r="Q46" s="29"/>
      <c r="R46" s="29"/>
      <c r="S46" s="29"/>
      <c r="T46" s="29"/>
      <c r="U46" s="36"/>
      <c r="V46" s="36"/>
    </row>
    <row r="47" spans="2:22" x14ac:dyDescent="0.45">
      <c r="B47" s="29"/>
      <c r="C47" s="29"/>
      <c r="D47" s="29"/>
      <c r="E47" s="29"/>
      <c r="F47" s="29"/>
      <c r="G47" s="29"/>
      <c r="H47" s="29"/>
      <c r="I47" s="29"/>
      <c r="J47" s="29"/>
      <c r="K47" s="29"/>
      <c r="L47" s="29"/>
      <c r="M47" s="29"/>
      <c r="N47" s="29"/>
      <c r="O47" s="29"/>
      <c r="P47" s="29"/>
      <c r="Q47" s="29"/>
      <c r="R47" s="29"/>
      <c r="S47" s="29"/>
      <c r="T47" s="29"/>
      <c r="U47" s="36"/>
      <c r="V47" s="36"/>
    </row>
    <row r="48" spans="2:22" x14ac:dyDescent="0.45">
      <c r="B48" s="29"/>
      <c r="C48" s="29"/>
      <c r="D48" s="29"/>
      <c r="E48" s="29"/>
      <c r="F48" s="29"/>
      <c r="G48" s="29"/>
      <c r="H48" s="29"/>
      <c r="I48" s="29"/>
      <c r="J48" s="29"/>
      <c r="K48" s="29"/>
      <c r="L48" s="29"/>
      <c r="M48" s="29"/>
      <c r="N48" s="29"/>
      <c r="O48" s="29"/>
      <c r="P48" s="29"/>
      <c r="Q48" s="29"/>
      <c r="R48" s="29"/>
      <c r="S48" s="29"/>
      <c r="T48" s="29"/>
      <c r="U48" s="36"/>
      <c r="V48" s="36"/>
    </row>
    <row r="49" spans="2:22" x14ac:dyDescent="0.45">
      <c r="B49" s="29"/>
      <c r="C49" s="29"/>
      <c r="D49" s="29"/>
      <c r="E49" s="29"/>
      <c r="F49" s="29"/>
      <c r="G49" s="29"/>
      <c r="H49" s="29"/>
      <c r="I49" s="29"/>
      <c r="J49" s="29"/>
      <c r="K49" s="29"/>
      <c r="L49" s="29"/>
      <c r="M49" s="29"/>
      <c r="N49" s="29"/>
      <c r="O49" s="29"/>
      <c r="P49" s="29"/>
      <c r="Q49" s="29"/>
      <c r="R49" s="29"/>
      <c r="S49" s="29"/>
      <c r="T49" s="29"/>
      <c r="U49" s="36"/>
      <c r="V49" s="36"/>
    </row>
    <row r="50" spans="2:22" x14ac:dyDescent="0.45">
      <c r="B50" s="29"/>
      <c r="C50" s="29"/>
      <c r="D50" s="29"/>
      <c r="E50" s="29"/>
      <c r="F50" s="29"/>
      <c r="G50" s="29"/>
      <c r="H50" s="29"/>
      <c r="I50" s="29"/>
      <c r="J50" s="29"/>
      <c r="K50" s="29"/>
      <c r="L50" s="29"/>
      <c r="M50" s="29"/>
      <c r="N50" s="29"/>
      <c r="O50" s="29"/>
      <c r="P50" s="29"/>
      <c r="Q50" s="29"/>
      <c r="R50" s="29"/>
      <c r="S50" s="29"/>
      <c r="T50" s="29"/>
      <c r="U50" s="36"/>
      <c r="V50" s="36"/>
    </row>
    <row r="51" spans="2:22" x14ac:dyDescent="0.45">
      <c r="B51" s="29"/>
      <c r="C51" s="29"/>
      <c r="D51" s="29"/>
      <c r="E51" s="29"/>
      <c r="F51" s="29"/>
      <c r="G51" s="29"/>
      <c r="H51" s="29"/>
      <c r="I51" s="29"/>
      <c r="J51" s="29"/>
      <c r="K51" s="29"/>
      <c r="L51" s="29"/>
      <c r="M51" s="29"/>
      <c r="N51" s="29"/>
      <c r="O51" s="29"/>
      <c r="P51" s="29"/>
      <c r="Q51" s="29"/>
      <c r="R51" s="29"/>
      <c r="S51" s="29"/>
      <c r="T51" s="29"/>
      <c r="U51" s="36"/>
      <c r="V51" s="36"/>
    </row>
    <row r="52" spans="2:22" x14ac:dyDescent="0.45">
      <c r="B52" s="29"/>
      <c r="C52" s="29"/>
      <c r="D52" s="29"/>
      <c r="E52" s="29"/>
      <c r="F52" s="29"/>
      <c r="G52" s="29"/>
      <c r="H52" s="29"/>
      <c r="I52" s="29"/>
      <c r="J52" s="29"/>
      <c r="K52" s="29"/>
      <c r="L52" s="29"/>
      <c r="M52" s="29"/>
      <c r="N52" s="29"/>
      <c r="O52" s="29"/>
      <c r="P52" s="29"/>
      <c r="Q52" s="29"/>
      <c r="R52" s="29"/>
      <c r="S52" s="29"/>
      <c r="T52" s="29"/>
      <c r="U52" s="36"/>
      <c r="V52" s="36"/>
    </row>
    <row r="53" spans="2:22" x14ac:dyDescent="0.45">
      <c r="B53" s="29"/>
      <c r="C53" s="29"/>
      <c r="D53" s="29"/>
      <c r="E53" s="29"/>
      <c r="F53" s="29"/>
      <c r="G53" s="29"/>
      <c r="H53" s="29"/>
      <c r="I53" s="29"/>
      <c r="J53" s="29"/>
      <c r="K53" s="29"/>
      <c r="L53" s="29"/>
      <c r="M53" s="29"/>
      <c r="N53" s="29"/>
      <c r="O53" s="29"/>
      <c r="P53" s="29"/>
      <c r="Q53" s="29"/>
      <c r="R53" s="29"/>
      <c r="S53" s="29"/>
      <c r="T53" s="29"/>
      <c r="U53" s="36"/>
      <c r="V53" s="36"/>
    </row>
    <row r="54" spans="2:22" x14ac:dyDescent="0.45">
      <c r="B54" s="29"/>
      <c r="C54" s="29"/>
      <c r="D54" s="29"/>
      <c r="E54" s="29"/>
      <c r="F54" s="29"/>
      <c r="G54" s="29"/>
      <c r="H54" s="29"/>
      <c r="I54" s="29"/>
      <c r="J54" s="29"/>
      <c r="K54" s="29"/>
      <c r="L54" s="29"/>
      <c r="M54" s="29"/>
      <c r="N54" s="29"/>
      <c r="O54" s="29"/>
      <c r="P54" s="29"/>
      <c r="Q54" s="29"/>
      <c r="R54" s="29"/>
      <c r="S54" s="29"/>
      <c r="T54" s="29"/>
      <c r="U54" s="36"/>
      <c r="V54" s="36"/>
    </row>
    <row r="55" spans="2:22" x14ac:dyDescent="0.45">
      <c r="B55" s="29"/>
      <c r="C55" s="29"/>
      <c r="D55" s="29"/>
      <c r="E55" s="29"/>
      <c r="F55" s="29"/>
      <c r="G55" s="29"/>
      <c r="H55" s="29"/>
      <c r="I55" s="29"/>
      <c r="J55" s="29"/>
      <c r="K55" s="29"/>
      <c r="L55" s="29"/>
      <c r="M55" s="29"/>
      <c r="N55" s="29"/>
      <c r="O55" s="29"/>
      <c r="P55" s="29"/>
      <c r="Q55" s="29"/>
      <c r="R55" s="29"/>
      <c r="S55" s="29"/>
      <c r="T55" s="29"/>
      <c r="U55" s="36"/>
      <c r="V55" s="36"/>
    </row>
    <row r="56" spans="2:22" x14ac:dyDescent="0.45">
      <c r="B56" s="29"/>
      <c r="C56" s="29"/>
      <c r="D56" s="29"/>
      <c r="E56" s="29"/>
      <c r="F56" s="29"/>
      <c r="G56" s="29"/>
      <c r="H56" s="29"/>
      <c r="I56" s="29"/>
      <c r="J56" s="29"/>
      <c r="K56" s="29"/>
      <c r="L56" s="29"/>
      <c r="M56" s="29"/>
      <c r="N56" s="29"/>
      <c r="O56" s="29"/>
      <c r="P56" s="29"/>
      <c r="Q56" s="29"/>
      <c r="R56" s="29"/>
      <c r="S56" s="29"/>
      <c r="T56" s="29"/>
      <c r="U56" s="36"/>
      <c r="V56" s="36"/>
    </row>
    <row r="57" spans="2:22" x14ac:dyDescent="0.45">
      <c r="B57" s="29"/>
      <c r="C57" s="29"/>
      <c r="D57" s="29"/>
      <c r="E57" s="29"/>
      <c r="F57" s="29"/>
      <c r="G57" s="29"/>
      <c r="H57" s="29"/>
      <c r="I57" s="29"/>
      <c r="J57" s="29"/>
      <c r="K57" s="29"/>
      <c r="L57" s="29"/>
      <c r="M57" s="29"/>
      <c r="N57" s="29"/>
      <c r="O57" s="29"/>
      <c r="P57" s="29"/>
      <c r="Q57" s="29"/>
      <c r="R57" s="29"/>
      <c r="S57" s="29"/>
      <c r="T57" s="29"/>
      <c r="U57" s="36"/>
      <c r="V57" s="36"/>
    </row>
    <row r="58" spans="2:22" x14ac:dyDescent="0.45">
      <c r="B58" s="29"/>
      <c r="C58" s="29"/>
      <c r="D58" s="29"/>
      <c r="E58" s="29"/>
      <c r="F58" s="29"/>
      <c r="G58" s="29"/>
      <c r="H58" s="29"/>
      <c r="I58" s="29"/>
      <c r="J58" s="29"/>
      <c r="K58" s="29"/>
      <c r="L58" s="29"/>
      <c r="M58" s="29"/>
      <c r="N58" s="29"/>
      <c r="O58" s="29"/>
      <c r="P58" s="29"/>
      <c r="Q58" s="29"/>
      <c r="R58" s="29"/>
      <c r="S58" s="29"/>
      <c r="T58" s="29"/>
      <c r="U58" s="36"/>
      <c r="V58" s="36"/>
    </row>
    <row r="59" spans="2:22" x14ac:dyDescent="0.45">
      <c r="B59" s="29"/>
      <c r="C59" s="29"/>
      <c r="D59" s="29"/>
      <c r="E59" s="29"/>
      <c r="F59" s="29"/>
      <c r="G59" s="29"/>
      <c r="H59" s="29"/>
      <c r="I59" s="29"/>
      <c r="J59" s="29"/>
      <c r="K59" s="29"/>
      <c r="L59" s="29"/>
      <c r="M59" s="29"/>
      <c r="N59" s="29"/>
      <c r="O59" s="29"/>
      <c r="P59" s="29"/>
      <c r="Q59" s="29"/>
      <c r="R59" s="29"/>
      <c r="S59" s="29"/>
      <c r="T59" s="29"/>
      <c r="U59" s="36"/>
      <c r="V59" s="36"/>
    </row>
    <row r="60" spans="2:22" x14ac:dyDescent="0.45">
      <c r="B60" s="29"/>
      <c r="C60" s="29"/>
      <c r="D60" s="29"/>
      <c r="E60" s="29"/>
      <c r="F60" s="29"/>
      <c r="G60" s="29"/>
      <c r="H60" s="29"/>
      <c r="I60" s="29"/>
      <c r="J60" s="29"/>
      <c r="K60" s="29"/>
      <c r="L60" s="29"/>
      <c r="M60" s="29"/>
      <c r="N60" s="29"/>
      <c r="O60" s="29"/>
      <c r="P60" s="29"/>
      <c r="Q60" s="29"/>
      <c r="R60" s="29"/>
      <c r="S60" s="29"/>
      <c r="T60" s="29"/>
      <c r="U60" s="29"/>
      <c r="V60" s="29"/>
    </row>
    <row r="61" spans="2:22" x14ac:dyDescent="0.45">
      <c r="B61" s="29"/>
      <c r="C61" s="29"/>
      <c r="D61" s="29"/>
      <c r="E61" s="29"/>
      <c r="F61" s="29"/>
      <c r="G61" s="29"/>
      <c r="H61" s="29"/>
      <c r="I61" s="29"/>
      <c r="J61" s="29"/>
      <c r="K61" s="29"/>
      <c r="L61" s="29"/>
      <c r="M61" s="29"/>
      <c r="N61" s="29"/>
      <c r="O61" s="29"/>
      <c r="P61" s="29"/>
      <c r="Q61" s="29"/>
      <c r="R61" s="29"/>
      <c r="S61" s="29"/>
      <c r="T61" s="29"/>
      <c r="U61" s="29"/>
      <c r="V61" s="29"/>
    </row>
    <row r="62" spans="2:22" x14ac:dyDescent="0.45">
      <c r="B62" s="29"/>
      <c r="C62" s="29"/>
      <c r="D62" s="29"/>
      <c r="E62" s="29"/>
      <c r="F62" s="29"/>
      <c r="G62" s="29"/>
      <c r="H62" s="29"/>
      <c r="I62" s="29"/>
      <c r="J62" s="29"/>
      <c r="K62" s="29"/>
      <c r="L62" s="29"/>
      <c r="M62" s="29"/>
      <c r="N62" s="29"/>
      <c r="O62" s="29"/>
      <c r="P62" s="29"/>
      <c r="Q62" s="29"/>
      <c r="R62" s="29"/>
      <c r="S62" s="29"/>
      <c r="T62" s="29"/>
      <c r="U62" s="29"/>
      <c r="V62" s="29"/>
    </row>
    <row r="63" spans="2:22" x14ac:dyDescent="0.45">
      <c r="B63" s="29"/>
      <c r="C63" s="29"/>
      <c r="D63" s="29"/>
      <c r="E63" s="29"/>
      <c r="F63" s="29"/>
      <c r="G63" s="29"/>
      <c r="H63" s="29"/>
      <c r="I63" s="29"/>
      <c r="J63" s="29"/>
      <c r="K63" s="29"/>
      <c r="L63" s="29"/>
      <c r="M63" s="29"/>
      <c r="N63" s="29"/>
      <c r="O63" s="29"/>
      <c r="P63" s="29"/>
      <c r="Q63" s="29"/>
      <c r="R63" s="29"/>
      <c r="S63" s="29"/>
      <c r="T63" s="29"/>
      <c r="U63" s="29"/>
      <c r="V63" s="29"/>
    </row>
    <row r="64" spans="2:22" x14ac:dyDescent="0.45">
      <c r="B64" s="29"/>
      <c r="C64" s="29"/>
      <c r="D64" s="29"/>
      <c r="E64" s="29"/>
      <c r="F64" s="29"/>
      <c r="G64" s="29"/>
      <c r="H64" s="29"/>
      <c r="I64" s="29"/>
      <c r="J64" s="29"/>
      <c r="K64" s="29"/>
      <c r="L64" s="29"/>
      <c r="M64" s="29"/>
      <c r="N64" s="29"/>
      <c r="O64" s="29"/>
      <c r="P64" s="29"/>
      <c r="Q64" s="29"/>
      <c r="R64" s="29"/>
      <c r="S64" s="29"/>
      <c r="T64" s="29"/>
      <c r="U64" s="29"/>
      <c r="V64" s="29"/>
    </row>
    <row r="65" spans="1:22" x14ac:dyDescent="0.45">
      <c r="B65" s="29"/>
      <c r="C65" s="29"/>
      <c r="D65" s="29"/>
      <c r="E65" s="29"/>
      <c r="F65" s="29"/>
      <c r="G65" s="29"/>
      <c r="H65" s="29"/>
      <c r="I65" s="29"/>
      <c r="J65" s="29"/>
      <c r="K65" s="29"/>
      <c r="L65" s="29"/>
      <c r="M65" s="29"/>
      <c r="N65" s="29"/>
      <c r="O65" s="29"/>
      <c r="P65" s="29"/>
      <c r="Q65" s="29"/>
      <c r="R65" s="29"/>
      <c r="S65" s="29"/>
      <c r="T65" s="29"/>
      <c r="U65" s="29"/>
      <c r="V65" s="29"/>
    </row>
    <row r="66" spans="1:22" x14ac:dyDescent="0.45">
      <c r="B66" s="29"/>
      <c r="C66" s="29"/>
      <c r="D66" s="29"/>
      <c r="E66" s="29"/>
      <c r="F66" s="29"/>
      <c r="G66" s="29"/>
      <c r="H66" s="29"/>
      <c r="I66" s="29"/>
      <c r="J66" s="29"/>
      <c r="K66" s="29"/>
      <c r="L66" s="29"/>
      <c r="M66" s="29"/>
      <c r="N66" s="29"/>
      <c r="O66" s="29"/>
      <c r="P66" s="29"/>
      <c r="Q66" s="29"/>
      <c r="R66" s="29"/>
      <c r="S66" s="29"/>
      <c r="T66" s="29"/>
      <c r="U66" s="29"/>
      <c r="V66" s="29"/>
    </row>
    <row r="67" spans="1:22" x14ac:dyDescent="0.45">
      <c r="B67" s="29"/>
      <c r="C67" s="29"/>
      <c r="D67" s="29"/>
      <c r="E67" s="29"/>
      <c r="F67" s="29"/>
      <c r="G67" s="29"/>
      <c r="H67" s="29"/>
      <c r="I67" s="29"/>
      <c r="J67" s="29"/>
      <c r="K67" s="29"/>
      <c r="L67" s="29"/>
      <c r="M67" s="29"/>
      <c r="N67" s="29"/>
      <c r="O67" s="29"/>
      <c r="P67" s="29"/>
      <c r="Q67" s="29"/>
      <c r="R67" s="29"/>
      <c r="S67" s="29"/>
      <c r="T67" s="29"/>
      <c r="U67" s="29"/>
      <c r="V67" s="29"/>
    </row>
    <row r="68" spans="1:22" x14ac:dyDescent="0.45">
      <c r="B68" s="29"/>
      <c r="C68" s="29"/>
      <c r="D68" s="29"/>
      <c r="E68" s="29"/>
      <c r="F68" s="29"/>
      <c r="G68" s="29"/>
      <c r="H68" s="29"/>
      <c r="I68" s="29"/>
      <c r="J68" s="29"/>
      <c r="K68" s="29"/>
      <c r="L68" s="29"/>
      <c r="M68" s="29"/>
      <c r="N68" s="29"/>
      <c r="O68" s="29"/>
      <c r="P68" s="29"/>
      <c r="Q68" s="29"/>
      <c r="R68" s="29"/>
      <c r="S68" s="29"/>
      <c r="T68" s="29"/>
      <c r="U68" s="29"/>
      <c r="V68" s="29"/>
    </row>
    <row r="69" spans="1:22" x14ac:dyDescent="0.45">
      <c r="B69" s="29"/>
      <c r="C69" s="29"/>
      <c r="D69" s="29"/>
      <c r="E69" s="29"/>
      <c r="F69" s="29"/>
      <c r="G69" s="29"/>
      <c r="H69" s="29"/>
      <c r="I69" s="29"/>
      <c r="J69" s="29"/>
      <c r="K69" s="29"/>
      <c r="L69" s="29"/>
      <c r="M69" s="29"/>
      <c r="N69" s="29"/>
      <c r="O69" s="29"/>
      <c r="P69" s="29"/>
      <c r="Q69" s="29"/>
      <c r="R69" s="29"/>
      <c r="S69" s="29"/>
      <c r="T69" s="29"/>
      <c r="U69" s="29"/>
      <c r="V69" s="29"/>
    </row>
    <row r="70" spans="1:22" x14ac:dyDescent="0.45">
      <c r="B70" s="29"/>
      <c r="C70" s="29"/>
      <c r="D70" s="29"/>
      <c r="E70" s="29"/>
      <c r="F70" s="29"/>
      <c r="G70" s="29"/>
      <c r="H70" s="29"/>
      <c r="I70" s="29"/>
      <c r="J70" s="29"/>
      <c r="K70" s="29"/>
      <c r="L70" s="29"/>
      <c r="M70" s="29"/>
      <c r="N70" s="29"/>
      <c r="O70" s="29"/>
      <c r="P70" s="29"/>
      <c r="Q70" s="29"/>
      <c r="R70" s="29"/>
      <c r="S70" s="29"/>
      <c r="T70" s="29"/>
      <c r="U70" s="29"/>
      <c r="V70" s="29"/>
    </row>
    <row r="71" spans="1:22" x14ac:dyDescent="0.45">
      <c r="B71" s="29"/>
      <c r="C71" s="29"/>
      <c r="D71" s="29"/>
      <c r="E71" s="29"/>
      <c r="F71" s="29"/>
      <c r="G71" s="29"/>
      <c r="H71" s="29"/>
      <c r="I71" s="29"/>
      <c r="J71" s="29"/>
      <c r="K71" s="29"/>
      <c r="L71" s="29"/>
      <c r="M71" s="29"/>
      <c r="N71" s="29"/>
      <c r="O71" s="29"/>
      <c r="P71" s="29"/>
      <c r="Q71" s="29"/>
      <c r="R71" s="29"/>
      <c r="S71" s="29"/>
      <c r="T71" s="29"/>
      <c r="U71" s="29"/>
      <c r="V71" s="29"/>
    </row>
    <row r="72" spans="1:22" x14ac:dyDescent="0.45">
      <c r="B72" s="29"/>
      <c r="C72" s="29"/>
      <c r="D72" s="29"/>
      <c r="E72" s="29"/>
      <c r="F72" s="29"/>
      <c r="G72" s="29"/>
      <c r="H72" s="29"/>
      <c r="I72" s="29"/>
      <c r="J72" s="29"/>
      <c r="K72" s="29"/>
      <c r="L72" s="29"/>
      <c r="M72" s="29"/>
      <c r="N72" s="29"/>
      <c r="O72" s="29"/>
      <c r="P72" s="29"/>
      <c r="Q72" s="29"/>
      <c r="R72" s="29"/>
      <c r="S72" s="29"/>
      <c r="T72" s="29"/>
      <c r="U72" s="29"/>
      <c r="V72" s="29"/>
    </row>
    <row r="73" spans="1:22" x14ac:dyDescent="0.45">
      <c r="B73" s="29"/>
      <c r="C73" s="29"/>
      <c r="D73" s="29"/>
      <c r="E73" s="29"/>
      <c r="F73" s="29"/>
      <c r="G73" s="29"/>
      <c r="H73" s="29"/>
      <c r="I73" s="29"/>
      <c r="J73" s="29"/>
      <c r="K73" s="29"/>
      <c r="L73" s="29"/>
      <c r="M73" s="29"/>
      <c r="N73" s="29"/>
      <c r="O73" s="29"/>
      <c r="P73" s="29"/>
      <c r="Q73" s="29"/>
      <c r="R73" s="29"/>
      <c r="S73" s="29"/>
      <c r="T73" s="29"/>
      <c r="U73" s="29"/>
      <c r="V73" s="29"/>
    </row>
    <row r="74" spans="1:22" x14ac:dyDescent="0.45">
      <c r="B74" s="29"/>
      <c r="C74" s="29"/>
      <c r="D74" s="29"/>
      <c r="E74" s="29"/>
      <c r="F74" s="29"/>
      <c r="G74" s="29"/>
      <c r="H74" s="29"/>
      <c r="I74" s="29"/>
      <c r="J74" s="29"/>
      <c r="K74" s="29"/>
      <c r="L74" s="29"/>
      <c r="M74" s="29"/>
      <c r="N74" s="29"/>
      <c r="O74" s="29"/>
      <c r="P74" s="29"/>
      <c r="Q74" s="29"/>
      <c r="R74" s="29"/>
      <c r="S74" s="29"/>
      <c r="T74" s="29"/>
      <c r="U74" s="29"/>
      <c r="V74" s="29"/>
    </row>
    <row r="75" spans="1:22" x14ac:dyDescent="0.45">
      <c r="A75"/>
    </row>
    <row r="76" spans="1:22" x14ac:dyDescent="0.45">
      <c r="A76"/>
    </row>
    <row r="77" spans="1:22" x14ac:dyDescent="0.45">
      <c r="A77"/>
    </row>
    <row r="78" spans="1:22" x14ac:dyDescent="0.45">
      <c r="A78"/>
    </row>
    <row r="79" spans="1:22" x14ac:dyDescent="0.45">
      <c r="A79"/>
    </row>
    <row r="80" spans="1:22" x14ac:dyDescent="0.45">
      <c r="A80"/>
    </row>
    <row r="81" spans="1:1" x14ac:dyDescent="0.45">
      <c r="A81"/>
    </row>
    <row r="82" spans="1:1" x14ac:dyDescent="0.45">
      <c r="A82"/>
    </row>
    <row r="83" spans="1:1" x14ac:dyDescent="0.45">
      <c r="A83"/>
    </row>
    <row r="84" spans="1:1" x14ac:dyDescent="0.45">
      <c r="A84"/>
    </row>
    <row r="85" spans="1:1" x14ac:dyDescent="0.45">
      <c r="A85"/>
    </row>
    <row r="86" spans="1:1" x14ac:dyDescent="0.45">
      <c r="A86"/>
    </row>
    <row r="87" spans="1:1" x14ac:dyDescent="0.45">
      <c r="A87"/>
    </row>
    <row r="88" spans="1:1" x14ac:dyDescent="0.45">
      <c r="A88"/>
    </row>
    <row r="89" spans="1:1" x14ac:dyDescent="0.45">
      <c r="A89"/>
    </row>
    <row r="90" spans="1:1" x14ac:dyDescent="0.45">
      <c r="A90"/>
    </row>
    <row r="91" spans="1:1" x14ac:dyDescent="0.45">
      <c r="A91"/>
    </row>
    <row r="92" spans="1:1" x14ac:dyDescent="0.45">
      <c r="A92"/>
    </row>
    <row r="93" spans="1:1" x14ac:dyDescent="0.45">
      <c r="A93"/>
    </row>
    <row r="94" spans="1:1" x14ac:dyDescent="0.45">
      <c r="A94"/>
    </row>
    <row r="95" spans="1:1" x14ac:dyDescent="0.45">
      <c r="A95"/>
    </row>
    <row r="96" spans="1:1" x14ac:dyDescent="0.45">
      <c r="A96"/>
    </row>
    <row r="97" spans="1:1" x14ac:dyDescent="0.45">
      <c r="A97"/>
    </row>
    <row r="98" spans="1:1" x14ac:dyDescent="0.45">
      <c r="A98"/>
    </row>
    <row r="99" spans="1:1" x14ac:dyDescent="0.45">
      <c r="A99"/>
    </row>
    <row r="100" spans="1:1" x14ac:dyDescent="0.45">
      <c r="A100"/>
    </row>
    <row r="101" spans="1:1" x14ac:dyDescent="0.45">
      <c r="A101"/>
    </row>
    <row r="102" spans="1:1" x14ac:dyDescent="0.45">
      <c r="A102"/>
    </row>
    <row r="103" spans="1:1" x14ac:dyDescent="0.45">
      <c r="A103"/>
    </row>
    <row r="104" spans="1:1" x14ac:dyDescent="0.45">
      <c r="A104"/>
    </row>
    <row r="105" spans="1:1" x14ac:dyDescent="0.45">
      <c r="A105"/>
    </row>
    <row r="106" spans="1:1" x14ac:dyDescent="0.45">
      <c r="A106"/>
    </row>
    <row r="107" spans="1:1" x14ac:dyDescent="0.45">
      <c r="A107"/>
    </row>
    <row r="108" spans="1:1" x14ac:dyDescent="0.45">
      <c r="A108"/>
    </row>
    <row r="109" spans="1:1" x14ac:dyDescent="0.45">
      <c r="A109"/>
    </row>
    <row r="110" spans="1:1" x14ac:dyDescent="0.45">
      <c r="A110"/>
    </row>
    <row r="111" spans="1:1" x14ac:dyDescent="0.45">
      <c r="A111"/>
    </row>
    <row r="112" spans="1:1" x14ac:dyDescent="0.45">
      <c r="A112"/>
    </row>
    <row r="113" spans="1:1" x14ac:dyDescent="0.45">
      <c r="A113"/>
    </row>
    <row r="114" spans="1:1" x14ac:dyDescent="0.45">
      <c r="A114"/>
    </row>
    <row r="115" spans="1:1" x14ac:dyDescent="0.45">
      <c r="A115"/>
    </row>
    <row r="116" spans="1:1" x14ac:dyDescent="0.45">
      <c r="A116"/>
    </row>
    <row r="117" spans="1:1" x14ac:dyDescent="0.45">
      <c r="A117"/>
    </row>
    <row r="118" spans="1:1" x14ac:dyDescent="0.45">
      <c r="A118"/>
    </row>
    <row r="119" spans="1:1" x14ac:dyDescent="0.45">
      <c r="A119"/>
    </row>
    <row r="120" spans="1:1" x14ac:dyDescent="0.45">
      <c r="A120"/>
    </row>
    <row r="121" spans="1:1" x14ac:dyDescent="0.45">
      <c r="A121"/>
    </row>
    <row r="122" spans="1:1" x14ac:dyDescent="0.45">
      <c r="A122"/>
    </row>
    <row r="123" spans="1:1" x14ac:dyDescent="0.45">
      <c r="A123"/>
    </row>
    <row r="124" spans="1:1" x14ac:dyDescent="0.45">
      <c r="A124"/>
    </row>
    <row r="125" spans="1:1" x14ac:dyDescent="0.45">
      <c r="A125"/>
    </row>
    <row r="126" spans="1:1" x14ac:dyDescent="0.45">
      <c r="A126"/>
    </row>
    <row r="127" spans="1:1" x14ac:dyDescent="0.45">
      <c r="A127"/>
    </row>
    <row r="128" spans="1:1" x14ac:dyDescent="0.45">
      <c r="A128"/>
    </row>
    <row r="129" spans="1:1" x14ac:dyDescent="0.45">
      <c r="A129"/>
    </row>
    <row r="130" spans="1:1" x14ac:dyDescent="0.45">
      <c r="A130"/>
    </row>
    <row r="131" spans="1:1" x14ac:dyDescent="0.45">
      <c r="A131"/>
    </row>
    <row r="132" spans="1:1" x14ac:dyDescent="0.45">
      <c r="A132"/>
    </row>
    <row r="133" spans="1:1" x14ac:dyDescent="0.45">
      <c r="A133"/>
    </row>
    <row r="134" spans="1:1" x14ac:dyDescent="0.45">
      <c r="A134"/>
    </row>
    <row r="135" spans="1:1" x14ac:dyDescent="0.45">
      <c r="A135"/>
    </row>
    <row r="136" spans="1:1" x14ac:dyDescent="0.45">
      <c r="A136"/>
    </row>
    <row r="137" spans="1:1" x14ac:dyDescent="0.45">
      <c r="A137"/>
    </row>
    <row r="138" spans="1:1" x14ac:dyDescent="0.45">
      <c r="A138"/>
    </row>
    <row r="139" spans="1:1" x14ac:dyDescent="0.45">
      <c r="A139"/>
    </row>
    <row r="140" spans="1:1" x14ac:dyDescent="0.45">
      <c r="A140"/>
    </row>
    <row r="141" spans="1:1" x14ac:dyDescent="0.45">
      <c r="A141"/>
    </row>
    <row r="142" spans="1:1" x14ac:dyDescent="0.45">
      <c r="A142"/>
    </row>
    <row r="143" spans="1:1" x14ac:dyDescent="0.45">
      <c r="A143"/>
    </row>
    <row r="144" spans="1:1" x14ac:dyDescent="0.45">
      <c r="A144"/>
    </row>
    <row r="145" spans="1:1" x14ac:dyDescent="0.45">
      <c r="A145"/>
    </row>
    <row r="146" spans="1:1" x14ac:dyDescent="0.45">
      <c r="A146"/>
    </row>
    <row r="147" spans="1:1" x14ac:dyDescent="0.45">
      <c r="A147"/>
    </row>
    <row r="148" spans="1:1" x14ac:dyDescent="0.45">
      <c r="A148"/>
    </row>
    <row r="149" spans="1:1" x14ac:dyDescent="0.45">
      <c r="A149"/>
    </row>
    <row r="150" spans="1:1" x14ac:dyDescent="0.45">
      <c r="A150"/>
    </row>
    <row r="151" spans="1:1" x14ac:dyDescent="0.45">
      <c r="A151"/>
    </row>
    <row r="152" spans="1:1" x14ac:dyDescent="0.45">
      <c r="A152"/>
    </row>
    <row r="153" spans="1:1" x14ac:dyDescent="0.45">
      <c r="A153"/>
    </row>
    <row r="154" spans="1:1" x14ac:dyDescent="0.45">
      <c r="A154"/>
    </row>
    <row r="155" spans="1:1" x14ac:dyDescent="0.45">
      <c r="A155"/>
    </row>
    <row r="156" spans="1:1" x14ac:dyDescent="0.45">
      <c r="A156"/>
    </row>
    <row r="157" spans="1:1" x14ac:dyDescent="0.45">
      <c r="A157"/>
    </row>
    <row r="158" spans="1:1" x14ac:dyDescent="0.45">
      <c r="A158"/>
    </row>
    <row r="159" spans="1:1" x14ac:dyDescent="0.45">
      <c r="A159"/>
    </row>
    <row r="160" spans="1:1" x14ac:dyDescent="0.45">
      <c r="A160"/>
    </row>
    <row r="161" spans="1:1" x14ac:dyDescent="0.45">
      <c r="A161"/>
    </row>
    <row r="162" spans="1:1" x14ac:dyDescent="0.45">
      <c r="A162"/>
    </row>
    <row r="163" spans="1:1" x14ac:dyDescent="0.45">
      <c r="A163"/>
    </row>
    <row r="164" spans="1:1" x14ac:dyDescent="0.45">
      <c r="A164"/>
    </row>
    <row r="165" spans="1:1" x14ac:dyDescent="0.45">
      <c r="A165"/>
    </row>
    <row r="166" spans="1:1" x14ac:dyDescent="0.45">
      <c r="A166"/>
    </row>
    <row r="167" spans="1:1" x14ac:dyDescent="0.45">
      <c r="A167"/>
    </row>
    <row r="168" spans="1:1" x14ac:dyDescent="0.45">
      <c r="A168"/>
    </row>
    <row r="169" spans="1:1" x14ac:dyDescent="0.45">
      <c r="A169"/>
    </row>
    <row r="170" spans="1:1" x14ac:dyDescent="0.45">
      <c r="A170"/>
    </row>
    <row r="171" spans="1:1" x14ac:dyDescent="0.45">
      <c r="A171"/>
    </row>
    <row r="172" spans="1:1" x14ac:dyDescent="0.45">
      <c r="A172"/>
    </row>
    <row r="173" spans="1:1" x14ac:dyDescent="0.45">
      <c r="A173"/>
    </row>
    <row r="174" spans="1:1" x14ac:dyDescent="0.45">
      <c r="A174"/>
    </row>
    <row r="175" spans="1:1" x14ac:dyDescent="0.45">
      <c r="A175"/>
    </row>
    <row r="176" spans="1:1" x14ac:dyDescent="0.45">
      <c r="A176"/>
    </row>
    <row r="177" spans="1:1" x14ac:dyDescent="0.45">
      <c r="A177"/>
    </row>
    <row r="178" spans="1:1" x14ac:dyDescent="0.45">
      <c r="A178"/>
    </row>
    <row r="179" spans="1:1" x14ac:dyDescent="0.45">
      <c r="A179"/>
    </row>
    <row r="180" spans="1:1" x14ac:dyDescent="0.45">
      <c r="A180"/>
    </row>
    <row r="181" spans="1:1" x14ac:dyDescent="0.45">
      <c r="A181"/>
    </row>
    <row r="182" spans="1:1" x14ac:dyDescent="0.45">
      <c r="A182"/>
    </row>
    <row r="183" spans="1:1" x14ac:dyDescent="0.45">
      <c r="A183"/>
    </row>
    <row r="184" spans="1:1" x14ac:dyDescent="0.45">
      <c r="A184"/>
    </row>
    <row r="185" spans="1:1" x14ac:dyDescent="0.45">
      <c r="A185"/>
    </row>
    <row r="186" spans="1:1" x14ac:dyDescent="0.45">
      <c r="A186"/>
    </row>
    <row r="187" spans="1:1" x14ac:dyDescent="0.45">
      <c r="A187"/>
    </row>
    <row r="188" spans="1:1" x14ac:dyDescent="0.45">
      <c r="A188"/>
    </row>
    <row r="189" spans="1:1" x14ac:dyDescent="0.45">
      <c r="A189"/>
    </row>
    <row r="190" spans="1:1" x14ac:dyDescent="0.45">
      <c r="A190"/>
    </row>
    <row r="191" spans="1:1" x14ac:dyDescent="0.45">
      <c r="A191"/>
    </row>
    <row r="192" spans="1:1" x14ac:dyDescent="0.45">
      <c r="A192"/>
    </row>
    <row r="193" spans="1:1" x14ac:dyDescent="0.45">
      <c r="A193"/>
    </row>
    <row r="194" spans="1:1" x14ac:dyDescent="0.45">
      <c r="A194"/>
    </row>
    <row r="195" spans="1:1" x14ac:dyDescent="0.45">
      <c r="A195"/>
    </row>
    <row r="196" spans="1:1" x14ac:dyDescent="0.45">
      <c r="A196"/>
    </row>
    <row r="197" spans="1:1" x14ac:dyDescent="0.45">
      <c r="A197"/>
    </row>
    <row r="198" spans="1:1" x14ac:dyDescent="0.45">
      <c r="A198"/>
    </row>
    <row r="199" spans="1:1" x14ac:dyDescent="0.45">
      <c r="A199"/>
    </row>
    <row r="200" spans="1:1" x14ac:dyDescent="0.45">
      <c r="A200"/>
    </row>
    <row r="201" spans="1:1" x14ac:dyDescent="0.45">
      <c r="A201"/>
    </row>
    <row r="202" spans="1:1" x14ac:dyDescent="0.45">
      <c r="A202"/>
    </row>
    <row r="203" spans="1:1" x14ac:dyDescent="0.45">
      <c r="A203"/>
    </row>
    <row r="204" spans="1:1" x14ac:dyDescent="0.45">
      <c r="A204"/>
    </row>
    <row r="205" spans="1:1" x14ac:dyDescent="0.45">
      <c r="A205"/>
    </row>
    <row r="206" spans="1:1" x14ac:dyDescent="0.45">
      <c r="A206"/>
    </row>
    <row r="207" spans="1:1" x14ac:dyDescent="0.45">
      <c r="A207"/>
    </row>
    <row r="208" spans="1:1" x14ac:dyDescent="0.45">
      <c r="A208"/>
    </row>
    <row r="209" spans="1:1" x14ac:dyDescent="0.45">
      <c r="A209"/>
    </row>
    <row r="210" spans="1:1" x14ac:dyDescent="0.45">
      <c r="A210"/>
    </row>
    <row r="211" spans="1:1" x14ac:dyDescent="0.45">
      <c r="A211"/>
    </row>
    <row r="212" spans="1:1" x14ac:dyDescent="0.45">
      <c r="A212"/>
    </row>
    <row r="213" spans="1:1" x14ac:dyDescent="0.45">
      <c r="A213"/>
    </row>
    <row r="214" spans="1:1" x14ac:dyDescent="0.45">
      <c r="A214"/>
    </row>
    <row r="215" spans="1:1" x14ac:dyDescent="0.45">
      <c r="A215"/>
    </row>
    <row r="216" spans="1:1" x14ac:dyDescent="0.45">
      <c r="A216"/>
    </row>
    <row r="217" spans="1:1" x14ac:dyDescent="0.45">
      <c r="A217"/>
    </row>
    <row r="218" spans="1:1" x14ac:dyDescent="0.45">
      <c r="A218"/>
    </row>
    <row r="219" spans="1:1" x14ac:dyDescent="0.45">
      <c r="A219"/>
    </row>
    <row r="220" spans="1:1" x14ac:dyDescent="0.45">
      <c r="A220"/>
    </row>
    <row r="221" spans="1:1" x14ac:dyDescent="0.45">
      <c r="A221"/>
    </row>
    <row r="222" spans="1:1" x14ac:dyDescent="0.45">
      <c r="A222"/>
    </row>
    <row r="223" spans="1:1" x14ac:dyDescent="0.45">
      <c r="A223"/>
    </row>
    <row r="224" spans="1:1" x14ac:dyDescent="0.45">
      <c r="A224"/>
    </row>
    <row r="225" spans="1:1" x14ac:dyDescent="0.45">
      <c r="A225"/>
    </row>
    <row r="226" spans="1:1" x14ac:dyDescent="0.45">
      <c r="A226"/>
    </row>
    <row r="227" spans="1:1" x14ac:dyDescent="0.45">
      <c r="A227"/>
    </row>
    <row r="228" spans="1:1" x14ac:dyDescent="0.45">
      <c r="A228"/>
    </row>
    <row r="229" spans="1:1" x14ac:dyDescent="0.45">
      <c r="A229"/>
    </row>
    <row r="230" spans="1:1" x14ac:dyDescent="0.45">
      <c r="A230"/>
    </row>
    <row r="231" spans="1:1" x14ac:dyDescent="0.45">
      <c r="A231"/>
    </row>
    <row r="232" spans="1:1" x14ac:dyDescent="0.45">
      <c r="A232"/>
    </row>
    <row r="233" spans="1:1" x14ac:dyDescent="0.45">
      <c r="A233"/>
    </row>
    <row r="234" spans="1:1" x14ac:dyDescent="0.45">
      <c r="A234"/>
    </row>
    <row r="235" spans="1:1" x14ac:dyDescent="0.45">
      <c r="A235"/>
    </row>
    <row r="236" spans="1:1" x14ac:dyDescent="0.45">
      <c r="A236"/>
    </row>
    <row r="237" spans="1:1" x14ac:dyDescent="0.45">
      <c r="A237"/>
    </row>
    <row r="238" spans="1:1" x14ac:dyDescent="0.45">
      <c r="A238"/>
    </row>
    <row r="239" spans="1:1" x14ac:dyDescent="0.45">
      <c r="A239"/>
    </row>
    <row r="240" spans="1:1" x14ac:dyDescent="0.45">
      <c r="A240"/>
    </row>
    <row r="241" spans="1:1" x14ac:dyDescent="0.45">
      <c r="A241"/>
    </row>
    <row r="242" spans="1:1" x14ac:dyDescent="0.45">
      <c r="A242"/>
    </row>
    <row r="243" spans="1:1" x14ac:dyDescent="0.45">
      <c r="A243"/>
    </row>
    <row r="244" spans="1:1" x14ac:dyDescent="0.45">
      <c r="A244"/>
    </row>
    <row r="245" spans="1:1" x14ac:dyDescent="0.45">
      <c r="A245"/>
    </row>
    <row r="246" spans="1:1" x14ac:dyDescent="0.45">
      <c r="A246"/>
    </row>
    <row r="247" spans="1:1" x14ac:dyDescent="0.45">
      <c r="A247"/>
    </row>
    <row r="248" spans="1:1" x14ac:dyDescent="0.45">
      <c r="A248"/>
    </row>
    <row r="249" spans="1:1" x14ac:dyDescent="0.45">
      <c r="A249"/>
    </row>
    <row r="250" spans="1:1" x14ac:dyDescent="0.45">
      <c r="A250"/>
    </row>
    <row r="251" spans="1:1" x14ac:dyDescent="0.45">
      <c r="A251"/>
    </row>
    <row r="252" spans="1:1" x14ac:dyDescent="0.45">
      <c r="A252"/>
    </row>
    <row r="253" spans="1:1" x14ac:dyDescent="0.45">
      <c r="A253"/>
    </row>
    <row r="254" spans="1:1" x14ac:dyDescent="0.45">
      <c r="A254"/>
    </row>
    <row r="255" spans="1:1" x14ac:dyDescent="0.45">
      <c r="A255"/>
    </row>
    <row r="256" spans="1:1" x14ac:dyDescent="0.45">
      <c r="A256"/>
    </row>
    <row r="257" spans="1:1" x14ac:dyDescent="0.45">
      <c r="A257"/>
    </row>
    <row r="258" spans="1:1" x14ac:dyDescent="0.45">
      <c r="A258"/>
    </row>
    <row r="259" spans="1:1" x14ac:dyDescent="0.45">
      <c r="A259"/>
    </row>
    <row r="260" spans="1:1" x14ac:dyDescent="0.45">
      <c r="A260"/>
    </row>
    <row r="261" spans="1:1" x14ac:dyDescent="0.45">
      <c r="A261"/>
    </row>
    <row r="262" spans="1:1" x14ac:dyDescent="0.45">
      <c r="A262"/>
    </row>
    <row r="263" spans="1:1" x14ac:dyDescent="0.45">
      <c r="A263"/>
    </row>
    <row r="264" spans="1:1" x14ac:dyDescent="0.45">
      <c r="A264"/>
    </row>
    <row r="265" spans="1:1" x14ac:dyDescent="0.45">
      <c r="A265"/>
    </row>
    <row r="266" spans="1:1" x14ac:dyDescent="0.45">
      <c r="A266"/>
    </row>
    <row r="267" spans="1:1" x14ac:dyDescent="0.45">
      <c r="A267"/>
    </row>
    <row r="268" spans="1:1" x14ac:dyDescent="0.45">
      <c r="A268"/>
    </row>
    <row r="269" spans="1:1" x14ac:dyDescent="0.45">
      <c r="A269"/>
    </row>
    <row r="270" spans="1:1" x14ac:dyDescent="0.45">
      <c r="A270"/>
    </row>
    <row r="271" spans="1:1" x14ac:dyDescent="0.45">
      <c r="A271"/>
    </row>
    <row r="272" spans="1:1" x14ac:dyDescent="0.45">
      <c r="A272"/>
    </row>
    <row r="273" spans="1:1" x14ac:dyDescent="0.45">
      <c r="A273"/>
    </row>
    <row r="274" spans="1:1" x14ac:dyDescent="0.45">
      <c r="A274"/>
    </row>
    <row r="275" spans="1:1" x14ac:dyDescent="0.45">
      <c r="A275"/>
    </row>
    <row r="276" spans="1:1" x14ac:dyDescent="0.45">
      <c r="A276"/>
    </row>
    <row r="277" spans="1:1" x14ac:dyDescent="0.45">
      <c r="A277"/>
    </row>
    <row r="278" spans="1:1" x14ac:dyDescent="0.45">
      <c r="A278"/>
    </row>
    <row r="279" spans="1:1" x14ac:dyDescent="0.45">
      <c r="A279"/>
    </row>
    <row r="280" spans="1:1" x14ac:dyDescent="0.45">
      <c r="A280"/>
    </row>
    <row r="281" spans="1:1" x14ac:dyDescent="0.45">
      <c r="A281"/>
    </row>
    <row r="282" spans="1:1" x14ac:dyDescent="0.45">
      <c r="A282"/>
    </row>
    <row r="283" spans="1:1" x14ac:dyDescent="0.45">
      <c r="A283"/>
    </row>
    <row r="284" spans="1:1" x14ac:dyDescent="0.45">
      <c r="A284"/>
    </row>
    <row r="285" spans="1:1" x14ac:dyDescent="0.45">
      <c r="A285"/>
    </row>
    <row r="286" spans="1:1" x14ac:dyDescent="0.45">
      <c r="A286"/>
    </row>
    <row r="287" spans="1:1" x14ac:dyDescent="0.45">
      <c r="A287"/>
    </row>
    <row r="288" spans="1:1" x14ac:dyDescent="0.45">
      <c r="A288"/>
    </row>
    <row r="289" spans="1:1" x14ac:dyDescent="0.45">
      <c r="A289"/>
    </row>
    <row r="290" spans="1:1" x14ac:dyDescent="0.45">
      <c r="A290"/>
    </row>
    <row r="291" spans="1:1" x14ac:dyDescent="0.45">
      <c r="A291"/>
    </row>
    <row r="292" spans="1:1" x14ac:dyDescent="0.45">
      <c r="A292"/>
    </row>
    <row r="293" spans="1:1" x14ac:dyDescent="0.45">
      <c r="A293"/>
    </row>
    <row r="294" spans="1:1" x14ac:dyDescent="0.45">
      <c r="A294"/>
    </row>
    <row r="295" spans="1:1" x14ac:dyDescent="0.45">
      <c r="A295"/>
    </row>
    <row r="296" spans="1:1" x14ac:dyDescent="0.45">
      <c r="A296"/>
    </row>
    <row r="297" spans="1:1" x14ac:dyDescent="0.45">
      <c r="A297"/>
    </row>
    <row r="298" spans="1:1" x14ac:dyDescent="0.45">
      <c r="A298"/>
    </row>
    <row r="299" spans="1:1" x14ac:dyDescent="0.45">
      <c r="A299"/>
    </row>
    <row r="300" spans="1:1" x14ac:dyDescent="0.45">
      <c r="A300"/>
    </row>
    <row r="301" spans="1:1" x14ac:dyDescent="0.45">
      <c r="A301"/>
    </row>
    <row r="302" spans="1:1" x14ac:dyDescent="0.45">
      <c r="A302"/>
    </row>
    <row r="303" spans="1:1" x14ac:dyDescent="0.45">
      <c r="A303"/>
    </row>
    <row r="304" spans="1:1" x14ac:dyDescent="0.45">
      <c r="A304"/>
    </row>
    <row r="305" spans="1:1" x14ac:dyDescent="0.45">
      <c r="A305"/>
    </row>
    <row r="306" spans="1:1" x14ac:dyDescent="0.45">
      <c r="A306"/>
    </row>
    <row r="307" spans="1:1" x14ac:dyDescent="0.45">
      <c r="A307"/>
    </row>
    <row r="308" spans="1:1" x14ac:dyDescent="0.45">
      <c r="A308"/>
    </row>
    <row r="309" spans="1:1" x14ac:dyDescent="0.45">
      <c r="A309"/>
    </row>
    <row r="310" spans="1:1" x14ac:dyDescent="0.45">
      <c r="A310"/>
    </row>
    <row r="311" spans="1:1" x14ac:dyDescent="0.45">
      <c r="A311"/>
    </row>
    <row r="312" spans="1:1" x14ac:dyDescent="0.45">
      <c r="A312"/>
    </row>
    <row r="313" spans="1:1" x14ac:dyDescent="0.45">
      <c r="A313"/>
    </row>
    <row r="314" spans="1:1" x14ac:dyDescent="0.45">
      <c r="A314"/>
    </row>
    <row r="315" spans="1:1" x14ac:dyDescent="0.45">
      <c r="A315"/>
    </row>
    <row r="316" spans="1:1" x14ac:dyDescent="0.45">
      <c r="A316"/>
    </row>
    <row r="317" spans="1:1" x14ac:dyDescent="0.45">
      <c r="A317"/>
    </row>
    <row r="318" spans="1:1" x14ac:dyDescent="0.45">
      <c r="A318"/>
    </row>
    <row r="319" spans="1:1" x14ac:dyDescent="0.45">
      <c r="A319"/>
    </row>
    <row r="320" spans="1:1" x14ac:dyDescent="0.45">
      <c r="A320"/>
    </row>
    <row r="321" spans="1:1" x14ac:dyDescent="0.45">
      <c r="A321"/>
    </row>
    <row r="322" spans="1:1" x14ac:dyDescent="0.45">
      <c r="A322"/>
    </row>
    <row r="323" spans="1:1" x14ac:dyDescent="0.45">
      <c r="A323"/>
    </row>
    <row r="324" spans="1:1" x14ac:dyDescent="0.45">
      <c r="A324"/>
    </row>
    <row r="325" spans="1:1" x14ac:dyDescent="0.45">
      <c r="A325"/>
    </row>
    <row r="326" spans="1:1" x14ac:dyDescent="0.45">
      <c r="A326"/>
    </row>
    <row r="327" spans="1:1" x14ac:dyDescent="0.45">
      <c r="A327"/>
    </row>
    <row r="328" spans="1:1" x14ac:dyDescent="0.45">
      <c r="A328"/>
    </row>
    <row r="329" spans="1:1" x14ac:dyDescent="0.45">
      <c r="A329"/>
    </row>
    <row r="330" spans="1:1" x14ac:dyDescent="0.45">
      <c r="A330"/>
    </row>
    <row r="331" spans="1:1" x14ac:dyDescent="0.45">
      <c r="A331"/>
    </row>
    <row r="332" spans="1:1" x14ac:dyDescent="0.45">
      <c r="A332"/>
    </row>
    <row r="333" spans="1:1" x14ac:dyDescent="0.45">
      <c r="A333"/>
    </row>
    <row r="334" spans="1:1" x14ac:dyDescent="0.45">
      <c r="A334"/>
    </row>
    <row r="335" spans="1:1" x14ac:dyDescent="0.45">
      <c r="A335"/>
    </row>
    <row r="336" spans="1:1" x14ac:dyDescent="0.45">
      <c r="A336"/>
    </row>
    <row r="337" spans="1:1" x14ac:dyDescent="0.45">
      <c r="A337"/>
    </row>
    <row r="338" spans="1:1" x14ac:dyDescent="0.45">
      <c r="A338"/>
    </row>
    <row r="339" spans="1:1" x14ac:dyDescent="0.45">
      <c r="A339"/>
    </row>
    <row r="340" spans="1:1" x14ac:dyDescent="0.45">
      <c r="A340"/>
    </row>
    <row r="341" spans="1:1" x14ac:dyDescent="0.45">
      <c r="A341"/>
    </row>
    <row r="342" spans="1:1" x14ac:dyDescent="0.45">
      <c r="A342"/>
    </row>
    <row r="343" spans="1:1" x14ac:dyDescent="0.45">
      <c r="A343"/>
    </row>
    <row r="344" spans="1:1" x14ac:dyDescent="0.45">
      <c r="A344"/>
    </row>
    <row r="345" spans="1:1" x14ac:dyDescent="0.45">
      <c r="A345"/>
    </row>
    <row r="346" spans="1:1" x14ac:dyDescent="0.45">
      <c r="A346"/>
    </row>
    <row r="347" spans="1:1" x14ac:dyDescent="0.45">
      <c r="A347"/>
    </row>
    <row r="348" spans="1:1" x14ac:dyDescent="0.45">
      <c r="A348"/>
    </row>
    <row r="349" spans="1:1" x14ac:dyDescent="0.45">
      <c r="A349"/>
    </row>
    <row r="350" spans="1:1" x14ac:dyDescent="0.45">
      <c r="A350"/>
    </row>
    <row r="351" spans="1:1" x14ac:dyDescent="0.45">
      <c r="A351"/>
    </row>
    <row r="352" spans="1:1" x14ac:dyDescent="0.45">
      <c r="A352"/>
    </row>
    <row r="353" spans="1:1" x14ac:dyDescent="0.45">
      <c r="A353"/>
    </row>
    <row r="354" spans="1:1" x14ac:dyDescent="0.45">
      <c r="A354"/>
    </row>
    <row r="355" spans="1:1" x14ac:dyDescent="0.45">
      <c r="A355"/>
    </row>
    <row r="356" spans="1:1" x14ac:dyDescent="0.45">
      <c r="A356"/>
    </row>
    <row r="357" spans="1:1" x14ac:dyDescent="0.45">
      <c r="A357"/>
    </row>
    <row r="358" spans="1:1" x14ac:dyDescent="0.45">
      <c r="A358"/>
    </row>
    <row r="359" spans="1:1" x14ac:dyDescent="0.45">
      <c r="A359"/>
    </row>
    <row r="360" spans="1:1" x14ac:dyDescent="0.45">
      <c r="A360"/>
    </row>
    <row r="361" spans="1:1" x14ac:dyDescent="0.45">
      <c r="A361"/>
    </row>
    <row r="362" spans="1:1" x14ac:dyDescent="0.45">
      <c r="A362"/>
    </row>
    <row r="363" spans="1:1" x14ac:dyDescent="0.45">
      <c r="A363"/>
    </row>
    <row r="364" spans="1:1" x14ac:dyDescent="0.45">
      <c r="A364"/>
    </row>
    <row r="365" spans="1:1" x14ac:dyDescent="0.45">
      <c r="A365"/>
    </row>
    <row r="366" spans="1:1" x14ac:dyDescent="0.45">
      <c r="A366"/>
    </row>
    <row r="367" spans="1:1" x14ac:dyDescent="0.45">
      <c r="A367"/>
    </row>
    <row r="368" spans="1:1" x14ac:dyDescent="0.45">
      <c r="A368"/>
    </row>
    <row r="369" spans="1:1" x14ac:dyDescent="0.45">
      <c r="A369"/>
    </row>
    <row r="370" spans="1:1" x14ac:dyDescent="0.45">
      <c r="A370"/>
    </row>
    <row r="371" spans="1:1" x14ac:dyDescent="0.45">
      <c r="A371"/>
    </row>
    <row r="372" spans="1:1" x14ac:dyDescent="0.45">
      <c r="A372"/>
    </row>
    <row r="373" spans="1:1" x14ac:dyDescent="0.45">
      <c r="A373"/>
    </row>
    <row r="374" spans="1:1" x14ac:dyDescent="0.45">
      <c r="A374"/>
    </row>
    <row r="375" spans="1:1" x14ac:dyDescent="0.45">
      <c r="A375"/>
    </row>
    <row r="376" spans="1:1" x14ac:dyDescent="0.45">
      <c r="A376"/>
    </row>
    <row r="377" spans="1:1" x14ac:dyDescent="0.45">
      <c r="A377"/>
    </row>
    <row r="378" spans="1:1" x14ac:dyDescent="0.45">
      <c r="A378"/>
    </row>
    <row r="379" spans="1:1" x14ac:dyDescent="0.45">
      <c r="A379"/>
    </row>
    <row r="380" spans="1:1" x14ac:dyDescent="0.45">
      <c r="A380"/>
    </row>
    <row r="381" spans="1:1" x14ac:dyDescent="0.45">
      <c r="A381"/>
    </row>
    <row r="382" spans="1:1" x14ac:dyDescent="0.45">
      <c r="A382"/>
    </row>
    <row r="383" spans="1:1" x14ac:dyDescent="0.45">
      <c r="A383"/>
    </row>
    <row r="384" spans="1:1" x14ac:dyDescent="0.45">
      <c r="A384"/>
    </row>
    <row r="385" spans="1:1" x14ac:dyDescent="0.45">
      <c r="A385"/>
    </row>
    <row r="386" spans="1:1" x14ac:dyDescent="0.45">
      <c r="A386"/>
    </row>
    <row r="387" spans="1:1" x14ac:dyDescent="0.45">
      <c r="A387"/>
    </row>
    <row r="388" spans="1:1" x14ac:dyDescent="0.45">
      <c r="A388"/>
    </row>
    <row r="389" spans="1:1" x14ac:dyDescent="0.45">
      <c r="A389"/>
    </row>
    <row r="390" spans="1:1" x14ac:dyDescent="0.45">
      <c r="A390"/>
    </row>
    <row r="391" spans="1:1" x14ac:dyDescent="0.45">
      <c r="A391"/>
    </row>
    <row r="392" spans="1:1" x14ac:dyDescent="0.45">
      <c r="A392"/>
    </row>
    <row r="393" spans="1:1" x14ac:dyDescent="0.45">
      <c r="A393"/>
    </row>
    <row r="394" spans="1:1" x14ac:dyDescent="0.45">
      <c r="A394"/>
    </row>
    <row r="395" spans="1:1" x14ac:dyDescent="0.45">
      <c r="A395"/>
    </row>
    <row r="396" spans="1:1" x14ac:dyDescent="0.45">
      <c r="A396"/>
    </row>
    <row r="397" spans="1:1" x14ac:dyDescent="0.45">
      <c r="A397"/>
    </row>
    <row r="398" spans="1:1" x14ac:dyDescent="0.45">
      <c r="A398"/>
    </row>
    <row r="399" spans="1:1" x14ac:dyDescent="0.45">
      <c r="A399"/>
    </row>
    <row r="400" spans="1:1" x14ac:dyDescent="0.45">
      <c r="A400"/>
    </row>
    <row r="401" spans="1:1" x14ac:dyDescent="0.45">
      <c r="A401"/>
    </row>
    <row r="402" spans="1:1" x14ac:dyDescent="0.45">
      <c r="A402"/>
    </row>
    <row r="403" spans="1:1" x14ac:dyDescent="0.45">
      <c r="A403"/>
    </row>
    <row r="404" spans="1:1" x14ac:dyDescent="0.45">
      <c r="A404"/>
    </row>
    <row r="405" spans="1:1" x14ac:dyDescent="0.45">
      <c r="A405"/>
    </row>
    <row r="406" spans="1:1" x14ac:dyDescent="0.45">
      <c r="A406"/>
    </row>
    <row r="407" spans="1:1" x14ac:dyDescent="0.45">
      <c r="A407"/>
    </row>
    <row r="408" spans="1:1" x14ac:dyDescent="0.45">
      <c r="A408"/>
    </row>
    <row r="409" spans="1:1" x14ac:dyDescent="0.45">
      <c r="A409"/>
    </row>
    <row r="410" spans="1:1" x14ac:dyDescent="0.45">
      <c r="A410"/>
    </row>
    <row r="411" spans="1:1" x14ac:dyDescent="0.45">
      <c r="A411"/>
    </row>
    <row r="412" spans="1:1" x14ac:dyDescent="0.45">
      <c r="A412"/>
    </row>
    <row r="413" spans="1:1" x14ac:dyDescent="0.45">
      <c r="A413"/>
    </row>
    <row r="414" spans="1:1" x14ac:dyDescent="0.45">
      <c r="A414"/>
    </row>
    <row r="415" spans="1:1" x14ac:dyDescent="0.45">
      <c r="A415"/>
    </row>
    <row r="416" spans="1:1" x14ac:dyDescent="0.45">
      <c r="A416"/>
    </row>
    <row r="417" spans="1:1" x14ac:dyDescent="0.45">
      <c r="A417"/>
    </row>
    <row r="418" spans="1:1" x14ac:dyDescent="0.45">
      <c r="A418"/>
    </row>
    <row r="419" spans="1:1" x14ac:dyDescent="0.45">
      <c r="A419"/>
    </row>
    <row r="420" spans="1:1" x14ac:dyDescent="0.45">
      <c r="A420"/>
    </row>
    <row r="421" spans="1:1" x14ac:dyDescent="0.45">
      <c r="A421"/>
    </row>
    <row r="422" spans="1:1" x14ac:dyDescent="0.45">
      <c r="A422"/>
    </row>
    <row r="423" spans="1:1" x14ac:dyDescent="0.45">
      <c r="A423"/>
    </row>
    <row r="424" spans="1:1" x14ac:dyDescent="0.45">
      <c r="A424"/>
    </row>
    <row r="425" spans="1:1" x14ac:dyDescent="0.45">
      <c r="A425"/>
    </row>
    <row r="426" spans="1:1" x14ac:dyDescent="0.45">
      <c r="A426"/>
    </row>
    <row r="427" spans="1:1" x14ac:dyDescent="0.45">
      <c r="A427"/>
    </row>
    <row r="428" spans="1:1" x14ac:dyDescent="0.45">
      <c r="A428"/>
    </row>
    <row r="429" spans="1:1" x14ac:dyDescent="0.45">
      <c r="A429"/>
    </row>
    <row r="430" spans="1:1" x14ac:dyDescent="0.45">
      <c r="A430"/>
    </row>
    <row r="431" spans="1:1" x14ac:dyDescent="0.45">
      <c r="A431"/>
    </row>
    <row r="432" spans="1:1" x14ac:dyDescent="0.45">
      <c r="A432"/>
    </row>
    <row r="433" spans="1:1" x14ac:dyDescent="0.45">
      <c r="A433"/>
    </row>
    <row r="434" spans="1:1" x14ac:dyDescent="0.45">
      <c r="A434"/>
    </row>
    <row r="435" spans="1:1" x14ac:dyDescent="0.45">
      <c r="A435"/>
    </row>
    <row r="436" spans="1:1" x14ac:dyDescent="0.45">
      <c r="A436"/>
    </row>
    <row r="437" spans="1:1" x14ac:dyDescent="0.45">
      <c r="A437"/>
    </row>
    <row r="438" spans="1:1" x14ac:dyDescent="0.45">
      <c r="A438"/>
    </row>
    <row r="439" spans="1:1" x14ac:dyDescent="0.45">
      <c r="A439"/>
    </row>
    <row r="440" spans="1:1" x14ac:dyDescent="0.45">
      <c r="A440"/>
    </row>
    <row r="441" spans="1:1" x14ac:dyDescent="0.45">
      <c r="A441"/>
    </row>
    <row r="442" spans="1:1" x14ac:dyDescent="0.45">
      <c r="A442"/>
    </row>
    <row r="443" spans="1:1" x14ac:dyDescent="0.45">
      <c r="A443"/>
    </row>
    <row r="444" spans="1:1" x14ac:dyDescent="0.45">
      <c r="A444"/>
    </row>
    <row r="445" spans="1:1" x14ac:dyDescent="0.45">
      <c r="A445"/>
    </row>
    <row r="446" spans="1:1" x14ac:dyDescent="0.45">
      <c r="A446"/>
    </row>
    <row r="447" spans="1:1" x14ac:dyDescent="0.45">
      <c r="A447"/>
    </row>
    <row r="448" spans="1:1" x14ac:dyDescent="0.45">
      <c r="A448"/>
    </row>
    <row r="449" spans="1:1" x14ac:dyDescent="0.45">
      <c r="A449"/>
    </row>
    <row r="450" spans="1:1" x14ac:dyDescent="0.45">
      <c r="A450"/>
    </row>
    <row r="451" spans="1:1" x14ac:dyDescent="0.45">
      <c r="A451"/>
    </row>
    <row r="452" spans="1:1" x14ac:dyDescent="0.45">
      <c r="A452"/>
    </row>
    <row r="453" spans="1:1" x14ac:dyDescent="0.45">
      <c r="A453"/>
    </row>
    <row r="454" spans="1:1" x14ac:dyDescent="0.45">
      <c r="A454"/>
    </row>
    <row r="455" spans="1:1" x14ac:dyDescent="0.45">
      <c r="A455"/>
    </row>
    <row r="456" spans="1:1" x14ac:dyDescent="0.45">
      <c r="A456"/>
    </row>
    <row r="457" spans="1:1" x14ac:dyDescent="0.45">
      <c r="A457"/>
    </row>
    <row r="458" spans="1:1" x14ac:dyDescent="0.45">
      <c r="A458"/>
    </row>
    <row r="459" spans="1:1" x14ac:dyDescent="0.45">
      <c r="A459"/>
    </row>
    <row r="460" spans="1:1" x14ac:dyDescent="0.45">
      <c r="A460"/>
    </row>
    <row r="461" spans="1:1" x14ac:dyDescent="0.45">
      <c r="A461"/>
    </row>
    <row r="462" spans="1:1" x14ac:dyDescent="0.45">
      <c r="A462"/>
    </row>
    <row r="463" spans="1:1" x14ac:dyDescent="0.45">
      <c r="A463"/>
    </row>
    <row r="464" spans="1:1" x14ac:dyDescent="0.45">
      <c r="A464"/>
    </row>
    <row r="465" spans="1:1" x14ac:dyDescent="0.45">
      <c r="A465"/>
    </row>
    <row r="466" spans="1:1" x14ac:dyDescent="0.45">
      <c r="A466"/>
    </row>
    <row r="467" spans="1:1" x14ac:dyDescent="0.45">
      <c r="A467"/>
    </row>
    <row r="468" spans="1:1" x14ac:dyDescent="0.45">
      <c r="A468"/>
    </row>
    <row r="469" spans="1:1" x14ac:dyDescent="0.45">
      <c r="A469"/>
    </row>
    <row r="470" spans="1:1" x14ac:dyDescent="0.45">
      <c r="A470"/>
    </row>
    <row r="471" spans="1:1" x14ac:dyDescent="0.45">
      <c r="A471"/>
    </row>
    <row r="472" spans="1:1" x14ac:dyDescent="0.45">
      <c r="A472"/>
    </row>
    <row r="473" spans="1:1" x14ac:dyDescent="0.45">
      <c r="A473"/>
    </row>
    <row r="474" spans="1:1" x14ac:dyDescent="0.45">
      <c r="A474"/>
    </row>
    <row r="475" spans="1:1" x14ac:dyDescent="0.45">
      <c r="A475"/>
    </row>
    <row r="476" spans="1:1" x14ac:dyDescent="0.45">
      <c r="A476"/>
    </row>
    <row r="477" spans="1:1" x14ac:dyDescent="0.45">
      <c r="A477"/>
    </row>
    <row r="478" spans="1:1" x14ac:dyDescent="0.45">
      <c r="A478"/>
    </row>
    <row r="479" spans="1:1" x14ac:dyDescent="0.45">
      <c r="A479"/>
    </row>
    <row r="480" spans="1:1" x14ac:dyDescent="0.45">
      <c r="A480"/>
    </row>
    <row r="481" spans="1:1" x14ac:dyDescent="0.45">
      <c r="A481"/>
    </row>
    <row r="482" spans="1:1" x14ac:dyDescent="0.45">
      <c r="A482"/>
    </row>
    <row r="483" spans="1:1" x14ac:dyDescent="0.45">
      <c r="A483"/>
    </row>
    <row r="484" spans="1:1" x14ac:dyDescent="0.45">
      <c r="A484"/>
    </row>
    <row r="485" spans="1:1" x14ac:dyDescent="0.45">
      <c r="A485"/>
    </row>
    <row r="486" spans="1:1" x14ac:dyDescent="0.45">
      <c r="A486"/>
    </row>
    <row r="487" spans="1:1" x14ac:dyDescent="0.45">
      <c r="A487"/>
    </row>
    <row r="488" spans="1:1" x14ac:dyDescent="0.45">
      <c r="A488"/>
    </row>
    <row r="489" spans="1:1" x14ac:dyDescent="0.45">
      <c r="A489"/>
    </row>
    <row r="490" spans="1:1" x14ac:dyDescent="0.45">
      <c r="A490"/>
    </row>
    <row r="491" spans="1:1" x14ac:dyDescent="0.45">
      <c r="A491"/>
    </row>
    <row r="492" spans="1:1" x14ac:dyDescent="0.45">
      <c r="A492"/>
    </row>
    <row r="493" spans="1:1" x14ac:dyDescent="0.45">
      <c r="A493"/>
    </row>
    <row r="494" spans="1:1" x14ac:dyDescent="0.45">
      <c r="A494"/>
    </row>
    <row r="495" spans="1:1" x14ac:dyDescent="0.45">
      <c r="A495"/>
    </row>
    <row r="496" spans="1:1" x14ac:dyDescent="0.45">
      <c r="A496"/>
    </row>
    <row r="497" spans="1:1" x14ac:dyDescent="0.45">
      <c r="A497"/>
    </row>
    <row r="498" spans="1:1" x14ac:dyDescent="0.45">
      <c r="A498"/>
    </row>
    <row r="499" spans="1:1" x14ac:dyDescent="0.45">
      <c r="A499"/>
    </row>
    <row r="500" spans="1:1" x14ac:dyDescent="0.45">
      <c r="A500"/>
    </row>
    <row r="501" spans="1:1" x14ac:dyDescent="0.45">
      <c r="A501"/>
    </row>
    <row r="502" spans="1:1" x14ac:dyDescent="0.45">
      <c r="A502"/>
    </row>
    <row r="503" spans="1:1" x14ac:dyDescent="0.45">
      <c r="A503"/>
    </row>
    <row r="504" spans="1:1" x14ac:dyDescent="0.45">
      <c r="A504"/>
    </row>
    <row r="505" spans="1:1" x14ac:dyDescent="0.45">
      <c r="A505"/>
    </row>
    <row r="506" spans="1:1" x14ac:dyDescent="0.45">
      <c r="A506"/>
    </row>
    <row r="507" spans="1:1" x14ac:dyDescent="0.45">
      <c r="A507"/>
    </row>
    <row r="508" spans="1:1" x14ac:dyDescent="0.45">
      <c r="A508"/>
    </row>
    <row r="509" spans="1:1" x14ac:dyDescent="0.45">
      <c r="A509"/>
    </row>
    <row r="510" spans="1:1" x14ac:dyDescent="0.45">
      <c r="A510"/>
    </row>
    <row r="511" spans="1:1" x14ac:dyDescent="0.45">
      <c r="A511"/>
    </row>
    <row r="512" spans="1:1" x14ac:dyDescent="0.45">
      <c r="A512"/>
    </row>
    <row r="513" spans="1:1" x14ac:dyDescent="0.45">
      <c r="A513"/>
    </row>
    <row r="514" spans="1:1" x14ac:dyDescent="0.45">
      <c r="A514"/>
    </row>
    <row r="515" spans="1:1" x14ac:dyDescent="0.45">
      <c r="A515"/>
    </row>
    <row r="516" spans="1:1" x14ac:dyDescent="0.45">
      <c r="A516"/>
    </row>
    <row r="517" spans="1:1" x14ac:dyDescent="0.45">
      <c r="A517"/>
    </row>
    <row r="518" spans="1:1" x14ac:dyDescent="0.45">
      <c r="A518"/>
    </row>
    <row r="519" spans="1:1" x14ac:dyDescent="0.45">
      <c r="A519"/>
    </row>
    <row r="520" spans="1:1" x14ac:dyDescent="0.45">
      <c r="A520"/>
    </row>
    <row r="521" spans="1:1" x14ac:dyDescent="0.45">
      <c r="A521"/>
    </row>
    <row r="522" spans="1:1" x14ac:dyDescent="0.45">
      <c r="A522"/>
    </row>
    <row r="523" spans="1:1" x14ac:dyDescent="0.45">
      <c r="A523"/>
    </row>
    <row r="524" spans="1:1" x14ac:dyDescent="0.45">
      <c r="A524"/>
    </row>
    <row r="525" spans="1:1" x14ac:dyDescent="0.45">
      <c r="A525"/>
    </row>
    <row r="526" spans="1:1" x14ac:dyDescent="0.45">
      <c r="A526"/>
    </row>
    <row r="527" spans="1:1" x14ac:dyDescent="0.45">
      <c r="A527"/>
    </row>
    <row r="528" spans="1:1" x14ac:dyDescent="0.45">
      <c r="A528"/>
    </row>
    <row r="529" spans="1:1" x14ac:dyDescent="0.45">
      <c r="A529"/>
    </row>
    <row r="530" spans="1:1" x14ac:dyDescent="0.45">
      <c r="A530"/>
    </row>
    <row r="531" spans="1:1" x14ac:dyDescent="0.45">
      <c r="A531"/>
    </row>
    <row r="532" spans="1:1" x14ac:dyDescent="0.45">
      <c r="A532"/>
    </row>
    <row r="533" spans="1:1" x14ac:dyDescent="0.45">
      <c r="A533"/>
    </row>
    <row r="534" spans="1:1" x14ac:dyDescent="0.45">
      <c r="A534"/>
    </row>
    <row r="535" spans="1:1" x14ac:dyDescent="0.45">
      <c r="A535"/>
    </row>
    <row r="536" spans="1:1" x14ac:dyDescent="0.45">
      <c r="A536"/>
    </row>
    <row r="537" spans="1:1" x14ac:dyDescent="0.45">
      <c r="A537"/>
    </row>
    <row r="538" spans="1:1" x14ac:dyDescent="0.45">
      <c r="A538"/>
    </row>
    <row r="539" spans="1:1" x14ac:dyDescent="0.45">
      <c r="A539"/>
    </row>
    <row r="540" spans="1:1" x14ac:dyDescent="0.45">
      <c r="A540"/>
    </row>
    <row r="541" spans="1:1" x14ac:dyDescent="0.45">
      <c r="A541"/>
    </row>
    <row r="542" spans="1:1" x14ac:dyDescent="0.45">
      <c r="A542"/>
    </row>
    <row r="543" spans="1:1" x14ac:dyDescent="0.45">
      <c r="A543"/>
    </row>
    <row r="544" spans="1:1" x14ac:dyDescent="0.45">
      <c r="A544"/>
    </row>
    <row r="545" spans="1:1" x14ac:dyDescent="0.45">
      <c r="A545"/>
    </row>
    <row r="546" spans="1:1" x14ac:dyDescent="0.45">
      <c r="A546"/>
    </row>
    <row r="547" spans="1:1" x14ac:dyDescent="0.45">
      <c r="A547"/>
    </row>
    <row r="548" spans="1:1" x14ac:dyDescent="0.45">
      <c r="A548"/>
    </row>
    <row r="549" spans="1:1" x14ac:dyDescent="0.45">
      <c r="A549"/>
    </row>
    <row r="550" spans="1:1" x14ac:dyDescent="0.45">
      <c r="A550"/>
    </row>
    <row r="551" spans="1:1" x14ac:dyDescent="0.45">
      <c r="A551"/>
    </row>
    <row r="552" spans="1:1" x14ac:dyDescent="0.45">
      <c r="A552"/>
    </row>
    <row r="553" spans="1:1" x14ac:dyDescent="0.45">
      <c r="A553"/>
    </row>
    <row r="554" spans="1:1" x14ac:dyDescent="0.45">
      <c r="A554"/>
    </row>
    <row r="555" spans="1:1" x14ac:dyDescent="0.45">
      <c r="A555"/>
    </row>
    <row r="556" spans="1:1" x14ac:dyDescent="0.45">
      <c r="A556"/>
    </row>
    <row r="557" spans="1:1" x14ac:dyDescent="0.45">
      <c r="A557"/>
    </row>
    <row r="558" spans="1:1" x14ac:dyDescent="0.45">
      <c r="A558"/>
    </row>
    <row r="559" spans="1:1" x14ac:dyDescent="0.45">
      <c r="A559"/>
    </row>
    <row r="560" spans="1:1" x14ac:dyDescent="0.45">
      <c r="A560"/>
    </row>
    <row r="561" spans="1:1" x14ac:dyDescent="0.45">
      <c r="A561"/>
    </row>
    <row r="562" spans="1:1" x14ac:dyDescent="0.45">
      <c r="A562"/>
    </row>
    <row r="563" spans="1:1" x14ac:dyDescent="0.45">
      <c r="A563"/>
    </row>
    <row r="564" spans="1:1" x14ac:dyDescent="0.45">
      <c r="A564"/>
    </row>
    <row r="565" spans="1:1" x14ac:dyDescent="0.45">
      <c r="A565"/>
    </row>
    <row r="566" spans="1:1" x14ac:dyDescent="0.45">
      <c r="A566"/>
    </row>
    <row r="567" spans="1:1" x14ac:dyDescent="0.45">
      <c r="A567"/>
    </row>
    <row r="568" spans="1:1" x14ac:dyDescent="0.45">
      <c r="A568"/>
    </row>
    <row r="569" spans="1:1" x14ac:dyDescent="0.45">
      <c r="A569"/>
    </row>
    <row r="570" spans="1:1" x14ac:dyDescent="0.45">
      <c r="A570"/>
    </row>
    <row r="571" spans="1:1" x14ac:dyDescent="0.45">
      <c r="A571"/>
    </row>
    <row r="572" spans="1:1" x14ac:dyDescent="0.45">
      <c r="A572"/>
    </row>
    <row r="573" spans="1:1" x14ac:dyDescent="0.45">
      <c r="A573"/>
    </row>
    <row r="574" spans="1:1" x14ac:dyDescent="0.45">
      <c r="A574"/>
    </row>
    <row r="575" spans="1:1" x14ac:dyDescent="0.45">
      <c r="A575"/>
    </row>
    <row r="576" spans="1:1" x14ac:dyDescent="0.45">
      <c r="A576"/>
    </row>
    <row r="577" spans="1:1" x14ac:dyDescent="0.45">
      <c r="A577"/>
    </row>
    <row r="578" spans="1:1" x14ac:dyDescent="0.45">
      <c r="A578"/>
    </row>
    <row r="579" spans="1:1" x14ac:dyDescent="0.45">
      <c r="A579"/>
    </row>
    <row r="580" spans="1:1" x14ac:dyDescent="0.45">
      <c r="A580"/>
    </row>
    <row r="581" spans="1:1" x14ac:dyDescent="0.45">
      <c r="A581"/>
    </row>
    <row r="582" spans="1:1" x14ac:dyDescent="0.45">
      <c r="A582"/>
    </row>
    <row r="583" spans="1:1" x14ac:dyDescent="0.45">
      <c r="A583"/>
    </row>
    <row r="584" spans="1:1" x14ac:dyDescent="0.45">
      <c r="A584"/>
    </row>
    <row r="585" spans="1:1" x14ac:dyDescent="0.45">
      <c r="A585"/>
    </row>
    <row r="586" spans="1:1" x14ac:dyDescent="0.45">
      <c r="A586"/>
    </row>
    <row r="587" spans="1:1" x14ac:dyDescent="0.45">
      <c r="A587"/>
    </row>
    <row r="588" spans="1:1" x14ac:dyDescent="0.45">
      <c r="A588"/>
    </row>
    <row r="589" spans="1:1" x14ac:dyDescent="0.45">
      <c r="A589"/>
    </row>
    <row r="590" spans="1:1" x14ac:dyDescent="0.45">
      <c r="A590"/>
    </row>
    <row r="591" spans="1:1" x14ac:dyDescent="0.45">
      <c r="A591"/>
    </row>
    <row r="592" spans="1:1" x14ac:dyDescent="0.45">
      <c r="A592"/>
    </row>
    <row r="593" spans="1:1" x14ac:dyDescent="0.45">
      <c r="A593"/>
    </row>
    <row r="594" spans="1:1" x14ac:dyDescent="0.45">
      <c r="A594"/>
    </row>
    <row r="595" spans="1:1" x14ac:dyDescent="0.45">
      <c r="A595"/>
    </row>
    <row r="596" spans="1:1" x14ac:dyDescent="0.45">
      <c r="A596"/>
    </row>
    <row r="597" spans="1:1" x14ac:dyDescent="0.45">
      <c r="A597"/>
    </row>
    <row r="598" spans="1:1" x14ac:dyDescent="0.45">
      <c r="A598"/>
    </row>
    <row r="599" spans="1:1" x14ac:dyDescent="0.45">
      <c r="A599"/>
    </row>
    <row r="600" spans="1:1" x14ac:dyDescent="0.45">
      <c r="A600"/>
    </row>
    <row r="601" spans="1:1" x14ac:dyDescent="0.45">
      <c r="A601"/>
    </row>
    <row r="602" spans="1:1" x14ac:dyDescent="0.45">
      <c r="A602"/>
    </row>
    <row r="603" spans="1:1" x14ac:dyDescent="0.45">
      <c r="A603"/>
    </row>
    <row r="604" spans="1:1" x14ac:dyDescent="0.45">
      <c r="A604"/>
    </row>
    <row r="605" spans="1:1" x14ac:dyDescent="0.45">
      <c r="A605"/>
    </row>
    <row r="606" spans="1:1" x14ac:dyDescent="0.45">
      <c r="A606"/>
    </row>
    <row r="607" spans="1:1" x14ac:dyDescent="0.45">
      <c r="A607"/>
    </row>
    <row r="608" spans="1:1" x14ac:dyDescent="0.45">
      <c r="A608"/>
    </row>
    <row r="609" spans="1:1" x14ac:dyDescent="0.45">
      <c r="A609"/>
    </row>
    <row r="610" spans="1:1" x14ac:dyDescent="0.45">
      <c r="A610"/>
    </row>
    <row r="611" spans="1:1" x14ac:dyDescent="0.45">
      <c r="A611"/>
    </row>
    <row r="612" spans="1:1" x14ac:dyDescent="0.45">
      <c r="A612"/>
    </row>
    <row r="613" spans="1:1" x14ac:dyDescent="0.45">
      <c r="A613"/>
    </row>
    <row r="614" spans="1:1" x14ac:dyDescent="0.45">
      <c r="A614"/>
    </row>
    <row r="615" spans="1:1" x14ac:dyDescent="0.45">
      <c r="A615"/>
    </row>
    <row r="616" spans="1:1" x14ac:dyDescent="0.45">
      <c r="A616"/>
    </row>
    <row r="617" spans="1:1" x14ac:dyDescent="0.45">
      <c r="A617"/>
    </row>
    <row r="618" spans="1:1" x14ac:dyDescent="0.45">
      <c r="A618"/>
    </row>
    <row r="619" spans="1:1" x14ac:dyDescent="0.45">
      <c r="A619"/>
    </row>
    <row r="620" spans="1:1" x14ac:dyDescent="0.45">
      <c r="A620"/>
    </row>
    <row r="621" spans="1:1" x14ac:dyDescent="0.45">
      <c r="A621"/>
    </row>
    <row r="622" spans="1:1" x14ac:dyDescent="0.45">
      <c r="A622"/>
    </row>
    <row r="623" spans="1:1" x14ac:dyDescent="0.45">
      <c r="A623"/>
    </row>
    <row r="624" spans="1:1" x14ac:dyDescent="0.45">
      <c r="A624"/>
    </row>
    <row r="625" spans="1:1" x14ac:dyDescent="0.45">
      <c r="A625"/>
    </row>
    <row r="626" spans="1:1" x14ac:dyDescent="0.45">
      <c r="A626"/>
    </row>
    <row r="627" spans="1:1" x14ac:dyDescent="0.45">
      <c r="A627"/>
    </row>
    <row r="628" spans="1:1" x14ac:dyDescent="0.45">
      <c r="A628"/>
    </row>
    <row r="629" spans="1:1" x14ac:dyDescent="0.45">
      <c r="A629"/>
    </row>
    <row r="630" spans="1:1" x14ac:dyDescent="0.45">
      <c r="A630"/>
    </row>
    <row r="631" spans="1:1" x14ac:dyDescent="0.45">
      <c r="A631"/>
    </row>
    <row r="632" spans="1:1" x14ac:dyDescent="0.45">
      <c r="A632"/>
    </row>
    <row r="633" spans="1:1" x14ac:dyDescent="0.45">
      <c r="A633"/>
    </row>
    <row r="634" spans="1:1" x14ac:dyDescent="0.45">
      <c r="A634"/>
    </row>
    <row r="635" spans="1:1" x14ac:dyDescent="0.45">
      <c r="A635"/>
    </row>
    <row r="636" spans="1:1" x14ac:dyDescent="0.45">
      <c r="A636"/>
    </row>
    <row r="637" spans="1:1" x14ac:dyDescent="0.45">
      <c r="A637"/>
    </row>
    <row r="638" spans="1:1" x14ac:dyDescent="0.45">
      <c r="A638"/>
    </row>
    <row r="639" spans="1:1" x14ac:dyDescent="0.45">
      <c r="A639"/>
    </row>
    <row r="640" spans="1:1" x14ac:dyDescent="0.45">
      <c r="A640"/>
    </row>
    <row r="641" spans="1:1" x14ac:dyDescent="0.45">
      <c r="A641"/>
    </row>
    <row r="642" spans="1:1" x14ac:dyDescent="0.45">
      <c r="A642"/>
    </row>
    <row r="643" spans="1:1" x14ac:dyDescent="0.45">
      <c r="A643"/>
    </row>
    <row r="644" spans="1:1" x14ac:dyDescent="0.45">
      <c r="A644"/>
    </row>
    <row r="645" spans="1:1" x14ac:dyDescent="0.45">
      <c r="A645"/>
    </row>
    <row r="646" spans="1:1" x14ac:dyDescent="0.45">
      <c r="A646"/>
    </row>
    <row r="647" spans="1:1" x14ac:dyDescent="0.45">
      <c r="A647"/>
    </row>
    <row r="648" spans="1:1" x14ac:dyDescent="0.45">
      <c r="A648"/>
    </row>
    <row r="649" spans="1:1" x14ac:dyDescent="0.45">
      <c r="A649"/>
    </row>
    <row r="650" spans="1:1" x14ac:dyDescent="0.45">
      <c r="A650"/>
    </row>
    <row r="651" spans="1:1" x14ac:dyDescent="0.45">
      <c r="A651"/>
    </row>
    <row r="652" spans="1:1" x14ac:dyDescent="0.45">
      <c r="A652"/>
    </row>
    <row r="653" spans="1:1" x14ac:dyDescent="0.45">
      <c r="A653"/>
    </row>
    <row r="654" spans="1:1" x14ac:dyDescent="0.45">
      <c r="A654"/>
    </row>
    <row r="655" spans="1:1" x14ac:dyDescent="0.45">
      <c r="A655"/>
    </row>
    <row r="656" spans="1:1" x14ac:dyDescent="0.45">
      <c r="A656"/>
    </row>
    <row r="657" spans="1:1" x14ac:dyDescent="0.45">
      <c r="A657"/>
    </row>
    <row r="658" spans="1:1" x14ac:dyDescent="0.45">
      <c r="A658"/>
    </row>
    <row r="659" spans="1:1" x14ac:dyDescent="0.45">
      <c r="A659"/>
    </row>
    <row r="660" spans="1:1" x14ac:dyDescent="0.45">
      <c r="A660"/>
    </row>
    <row r="661" spans="1:1" x14ac:dyDescent="0.45">
      <c r="A661"/>
    </row>
    <row r="662" spans="1:1" x14ac:dyDescent="0.45">
      <c r="A662"/>
    </row>
    <row r="663" spans="1:1" x14ac:dyDescent="0.45">
      <c r="A663"/>
    </row>
    <row r="664" spans="1:1" x14ac:dyDescent="0.45">
      <c r="A664"/>
    </row>
    <row r="665" spans="1:1" x14ac:dyDescent="0.45">
      <c r="A665"/>
    </row>
    <row r="666" spans="1:1" x14ac:dyDescent="0.45">
      <c r="A666"/>
    </row>
    <row r="667" spans="1:1" x14ac:dyDescent="0.45">
      <c r="A667"/>
    </row>
    <row r="668" spans="1:1" x14ac:dyDescent="0.45">
      <c r="A668"/>
    </row>
    <row r="669" spans="1:1" x14ac:dyDescent="0.45">
      <c r="A669"/>
    </row>
    <row r="670" spans="1:1" x14ac:dyDescent="0.45">
      <c r="A67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B9C5D-4C05-4DCB-A655-FCA46920984A}">
  <dimension ref="A1"/>
  <sheetViews>
    <sheetView tabSelected="1" topLeftCell="C1" workbookViewId="0">
      <selection activeCell="J4" sqref="J4"/>
    </sheetView>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003D3-AF9C-42C3-A459-CB95A481D3E6}">
  <dimension ref="A1:E51"/>
  <sheetViews>
    <sheetView workbookViewId="0">
      <pane ySplit="1" topLeftCell="A2" activePane="bottomLeft" state="frozen"/>
      <selection pane="bottomLeft" activeCell="G4" sqref="G4"/>
    </sheetView>
  </sheetViews>
  <sheetFormatPr defaultRowHeight="14.25" x14ac:dyDescent="0.45"/>
  <cols>
    <col min="1" max="1" width="15.796875" bestFit="1" customWidth="1"/>
    <col min="2" max="2" width="17.19921875" bestFit="1" customWidth="1"/>
    <col min="4" max="4" width="9.9296875" bestFit="1" customWidth="1"/>
    <col min="5" max="5" width="21" bestFit="1" customWidth="1"/>
  </cols>
  <sheetData>
    <row r="1" spans="1:5" x14ac:dyDescent="0.45">
      <c r="A1" s="5" t="s">
        <v>0</v>
      </c>
      <c r="B1" s="6" t="s">
        <v>16</v>
      </c>
    </row>
    <row r="2" spans="1:5" x14ac:dyDescent="0.45">
      <c r="A2" s="12">
        <v>44562</v>
      </c>
      <c r="B2" s="7">
        <v>190064.9</v>
      </c>
      <c r="D2" s="2" t="s">
        <v>57</v>
      </c>
      <c r="E2" t="s">
        <v>56</v>
      </c>
    </row>
    <row r="3" spans="1:5" x14ac:dyDescent="0.45">
      <c r="A3" s="12">
        <v>44593</v>
      </c>
      <c r="B3" s="7">
        <v>197529.18</v>
      </c>
      <c r="D3" s="14">
        <v>44562</v>
      </c>
      <c r="E3" s="4">
        <v>190064.9</v>
      </c>
    </row>
    <row r="4" spans="1:5" x14ac:dyDescent="0.45">
      <c r="A4" s="12">
        <v>44621</v>
      </c>
      <c r="B4" s="7">
        <v>210228.48000000001</v>
      </c>
      <c r="D4" s="14">
        <v>44593</v>
      </c>
      <c r="E4" s="4">
        <v>197529.18</v>
      </c>
    </row>
    <row r="5" spans="1:5" x14ac:dyDescent="0.45">
      <c r="A5" s="12">
        <v>44652</v>
      </c>
      <c r="B5" s="7">
        <v>179004.18</v>
      </c>
      <c r="D5" s="14">
        <v>44621</v>
      </c>
      <c r="E5" s="4">
        <v>210228.48000000001</v>
      </c>
    </row>
    <row r="6" spans="1:5" x14ac:dyDescent="0.45">
      <c r="A6" s="12">
        <v>44682</v>
      </c>
      <c r="B6" s="7">
        <v>212028.7</v>
      </c>
      <c r="D6" s="14">
        <v>44652</v>
      </c>
      <c r="E6" s="4">
        <v>179004.18</v>
      </c>
    </row>
    <row r="7" spans="1:5" x14ac:dyDescent="0.45">
      <c r="A7" s="12">
        <v>44713</v>
      </c>
      <c r="B7" s="7">
        <v>198318.98</v>
      </c>
      <c r="D7" s="14">
        <v>44682</v>
      </c>
      <c r="E7" s="4">
        <v>212028.7</v>
      </c>
    </row>
    <row r="8" spans="1:5" x14ac:dyDescent="0.45">
      <c r="A8" s="12">
        <v>44743</v>
      </c>
      <c r="B8" s="7">
        <v>231208.13</v>
      </c>
      <c r="D8" s="14">
        <v>44713</v>
      </c>
      <c r="E8" s="4">
        <v>198318.98</v>
      </c>
    </row>
    <row r="9" spans="1:5" x14ac:dyDescent="0.45">
      <c r="A9" s="12">
        <v>44774</v>
      </c>
      <c r="B9" s="7">
        <v>203503.4</v>
      </c>
      <c r="D9" s="14">
        <v>44743</v>
      </c>
      <c r="E9" s="4">
        <v>231208.13</v>
      </c>
    </row>
    <row r="10" spans="1:5" x14ac:dyDescent="0.45">
      <c r="A10" s="12">
        <v>44805</v>
      </c>
      <c r="B10" s="7">
        <v>158952.74</v>
      </c>
      <c r="D10" s="14">
        <v>44774</v>
      </c>
      <c r="E10" s="4">
        <v>203503.4</v>
      </c>
    </row>
    <row r="11" spans="1:5" x14ac:dyDescent="0.45">
      <c r="A11" s="12">
        <v>44835</v>
      </c>
      <c r="B11" s="7">
        <v>200423.07</v>
      </c>
      <c r="D11" s="14">
        <v>44805</v>
      </c>
      <c r="E11" s="4">
        <v>158952.74</v>
      </c>
    </row>
    <row r="12" spans="1:5" x14ac:dyDescent="0.45">
      <c r="A12" s="12">
        <v>44866</v>
      </c>
      <c r="B12" s="7">
        <v>202365.13</v>
      </c>
      <c r="D12" s="14">
        <v>44835</v>
      </c>
      <c r="E12" s="4">
        <v>200423.07</v>
      </c>
    </row>
    <row r="13" spans="1:5" x14ac:dyDescent="0.45">
      <c r="A13" s="12">
        <v>44896</v>
      </c>
      <c r="B13" s="7">
        <v>226340.81</v>
      </c>
      <c r="D13" s="14">
        <v>44866</v>
      </c>
      <c r="E13" s="4">
        <v>202365.13</v>
      </c>
    </row>
    <row r="14" spans="1:5" x14ac:dyDescent="0.45">
      <c r="A14" s="12">
        <v>44927</v>
      </c>
      <c r="B14" s="7">
        <v>247207.8</v>
      </c>
      <c r="D14" s="14">
        <v>44896</v>
      </c>
      <c r="E14" s="4">
        <v>226340.81</v>
      </c>
    </row>
    <row r="15" spans="1:5" x14ac:dyDescent="0.45">
      <c r="A15" s="12">
        <v>44958</v>
      </c>
      <c r="B15" s="7">
        <v>215146.55</v>
      </c>
      <c r="D15" s="14">
        <v>44927</v>
      </c>
      <c r="E15" s="4">
        <v>247207.8</v>
      </c>
    </row>
    <row r="16" spans="1:5" x14ac:dyDescent="0.45">
      <c r="A16" s="12">
        <v>44986</v>
      </c>
      <c r="B16" s="7">
        <v>212397.1</v>
      </c>
      <c r="D16" s="14">
        <v>44958</v>
      </c>
      <c r="E16" s="4">
        <v>215146.55</v>
      </c>
    </row>
    <row r="17" spans="1:5" x14ac:dyDescent="0.45">
      <c r="A17" s="12">
        <v>45017</v>
      </c>
      <c r="B17" s="7">
        <v>253354.48</v>
      </c>
      <c r="D17" s="14">
        <v>44986</v>
      </c>
      <c r="E17" s="4">
        <v>212397.1</v>
      </c>
    </row>
    <row r="18" spans="1:5" x14ac:dyDescent="0.45">
      <c r="A18" s="12">
        <v>45047</v>
      </c>
      <c r="B18" s="7">
        <v>236271.38</v>
      </c>
      <c r="D18" s="14">
        <v>45017</v>
      </c>
      <c r="E18" s="4">
        <v>253354.48</v>
      </c>
    </row>
    <row r="19" spans="1:5" x14ac:dyDescent="0.45">
      <c r="A19" s="12">
        <v>45078</v>
      </c>
      <c r="B19" s="7">
        <v>243603.42</v>
      </c>
      <c r="D19" s="14">
        <v>45047</v>
      </c>
      <c r="E19" s="4">
        <v>236271.38</v>
      </c>
    </row>
    <row r="20" spans="1:5" x14ac:dyDescent="0.45">
      <c r="A20" s="12">
        <v>45108</v>
      </c>
      <c r="B20" s="7">
        <v>218664.85</v>
      </c>
      <c r="D20" s="14">
        <v>45078</v>
      </c>
      <c r="E20" s="4">
        <v>243603.42</v>
      </c>
    </row>
    <row r="21" spans="1:5" x14ac:dyDescent="0.45">
      <c r="A21" s="12">
        <v>45139</v>
      </c>
      <c r="B21" s="7">
        <v>233256.77</v>
      </c>
      <c r="D21" s="14">
        <v>45108</v>
      </c>
      <c r="E21" s="4">
        <v>218664.85</v>
      </c>
    </row>
    <row r="22" spans="1:5" x14ac:dyDescent="0.45">
      <c r="A22" s="12">
        <v>45170</v>
      </c>
      <c r="B22" s="7">
        <v>227638.37</v>
      </c>
      <c r="D22" s="14">
        <v>45139</v>
      </c>
      <c r="E22" s="4">
        <v>233256.77</v>
      </c>
    </row>
    <row r="23" spans="1:5" x14ac:dyDescent="0.45">
      <c r="A23" s="12">
        <v>45200</v>
      </c>
      <c r="B23" s="7">
        <v>248095.23</v>
      </c>
      <c r="D23" s="14">
        <v>45170</v>
      </c>
      <c r="E23" s="4">
        <v>227638.37</v>
      </c>
    </row>
    <row r="24" spans="1:5" x14ac:dyDescent="0.45">
      <c r="A24" s="12">
        <v>45231</v>
      </c>
      <c r="B24" s="7">
        <v>242019.94</v>
      </c>
      <c r="D24" s="14">
        <v>45200</v>
      </c>
      <c r="E24" s="4">
        <v>248095.23</v>
      </c>
    </row>
    <row r="25" spans="1:5" x14ac:dyDescent="0.45">
      <c r="A25" s="12">
        <v>45261</v>
      </c>
      <c r="B25" s="7">
        <v>236037.31</v>
      </c>
      <c r="D25" s="14">
        <v>45231</v>
      </c>
      <c r="E25" s="4">
        <v>242019.94</v>
      </c>
    </row>
    <row r="26" spans="1:5" x14ac:dyDescent="0.45">
      <c r="A26" s="12">
        <v>45292</v>
      </c>
      <c r="B26" s="7">
        <v>234650.29</v>
      </c>
      <c r="D26" s="14">
        <v>45261</v>
      </c>
      <c r="E26" s="4">
        <v>236037.31</v>
      </c>
    </row>
    <row r="27" spans="1:5" x14ac:dyDescent="0.45">
      <c r="A27" s="12">
        <v>45323</v>
      </c>
      <c r="B27" s="7">
        <v>200891.75</v>
      </c>
      <c r="D27" s="14">
        <v>45292</v>
      </c>
      <c r="E27" s="4">
        <v>234650.29</v>
      </c>
    </row>
    <row r="28" spans="1:5" x14ac:dyDescent="0.45">
      <c r="A28" s="12">
        <v>45352</v>
      </c>
      <c r="B28" s="7">
        <v>263664.98</v>
      </c>
      <c r="D28" s="14">
        <v>45323</v>
      </c>
      <c r="E28" s="4">
        <v>200891.75</v>
      </c>
    </row>
    <row r="29" spans="1:5" x14ac:dyDescent="0.45">
      <c r="A29" s="12">
        <v>45383</v>
      </c>
      <c r="B29" s="7">
        <v>225960.88</v>
      </c>
      <c r="D29" s="14">
        <v>45352</v>
      </c>
      <c r="E29" s="4">
        <v>263664.98</v>
      </c>
    </row>
    <row r="30" spans="1:5" x14ac:dyDescent="0.45">
      <c r="A30" s="12">
        <v>45413</v>
      </c>
      <c r="B30" s="7">
        <v>248901.48</v>
      </c>
      <c r="D30" s="14">
        <v>45383</v>
      </c>
      <c r="E30" s="4">
        <v>225960.88</v>
      </c>
    </row>
    <row r="31" spans="1:5" x14ac:dyDescent="0.45">
      <c r="A31" s="12">
        <v>45444</v>
      </c>
      <c r="B31" s="7">
        <v>213366.79</v>
      </c>
      <c r="D31" s="14">
        <v>45413</v>
      </c>
      <c r="E31" s="4">
        <v>248901.48</v>
      </c>
    </row>
    <row r="32" spans="1:5" x14ac:dyDescent="0.45">
      <c r="A32" s="12">
        <v>45474</v>
      </c>
      <c r="B32" s="7">
        <v>233256.77</v>
      </c>
      <c r="D32" s="14">
        <v>45444</v>
      </c>
      <c r="E32" s="4">
        <v>213366.79</v>
      </c>
    </row>
    <row r="33" spans="1:5" x14ac:dyDescent="0.45">
      <c r="A33" s="12">
        <v>45505</v>
      </c>
      <c r="B33" s="7">
        <v>234863.77</v>
      </c>
      <c r="D33" s="14">
        <v>45474</v>
      </c>
      <c r="E33" s="4">
        <v>233256.77</v>
      </c>
    </row>
    <row r="34" spans="1:5" x14ac:dyDescent="0.45">
      <c r="A34" s="12">
        <v>45536</v>
      </c>
      <c r="B34" s="7">
        <v>240869.83</v>
      </c>
      <c r="D34" s="14">
        <v>45505</v>
      </c>
      <c r="E34" s="4">
        <v>234863.77</v>
      </c>
    </row>
    <row r="35" spans="1:5" x14ac:dyDescent="0.45">
      <c r="A35" s="12">
        <v>45566</v>
      </c>
      <c r="B35" s="7">
        <v>247456.61</v>
      </c>
      <c r="D35" s="14">
        <v>45536</v>
      </c>
      <c r="E35" s="4">
        <v>240869.83</v>
      </c>
    </row>
    <row r="36" spans="1:5" x14ac:dyDescent="0.45">
      <c r="A36" s="12">
        <v>45597</v>
      </c>
      <c r="B36" s="7">
        <v>230600.64</v>
      </c>
      <c r="D36" s="14">
        <v>45566</v>
      </c>
      <c r="E36" s="4">
        <v>247456.61</v>
      </c>
    </row>
    <row r="37" spans="1:5" x14ac:dyDescent="0.45">
      <c r="A37" s="12">
        <v>45627</v>
      </c>
      <c r="B37" s="7">
        <v>247207.8</v>
      </c>
      <c r="D37" s="14">
        <v>45597</v>
      </c>
      <c r="E37" s="4">
        <v>230600.64</v>
      </c>
    </row>
    <row r="38" spans="1:5" x14ac:dyDescent="0.45">
      <c r="A38" s="12">
        <v>45658</v>
      </c>
      <c r="B38" s="7">
        <v>277874.74</v>
      </c>
      <c r="D38" s="14">
        <v>45627</v>
      </c>
      <c r="E38" s="4">
        <v>247207.8</v>
      </c>
    </row>
    <row r="39" spans="1:5" x14ac:dyDescent="0.45">
      <c r="A39" s="12">
        <v>45689</v>
      </c>
      <c r="B39" s="7">
        <v>262318.88</v>
      </c>
      <c r="D39" s="14">
        <v>45658</v>
      </c>
      <c r="E39" s="4">
        <v>277874.74</v>
      </c>
    </row>
    <row r="40" spans="1:5" x14ac:dyDescent="0.45">
      <c r="A40" s="12">
        <v>45717</v>
      </c>
      <c r="B40" s="7">
        <v>293722.84000000003</v>
      </c>
      <c r="D40" s="14">
        <v>45689</v>
      </c>
      <c r="E40" s="4">
        <v>262318.88</v>
      </c>
    </row>
    <row r="41" spans="1:5" x14ac:dyDescent="0.45">
      <c r="A41" s="12">
        <v>45748</v>
      </c>
      <c r="B41" s="7">
        <v>206982.63</v>
      </c>
      <c r="D41" s="14">
        <v>45717</v>
      </c>
      <c r="E41" s="4">
        <v>293722.84000000003</v>
      </c>
    </row>
    <row r="42" spans="1:5" x14ac:dyDescent="0.45">
      <c r="A42" s="12">
        <v>45778</v>
      </c>
      <c r="B42" s="7">
        <v>225774.67</v>
      </c>
      <c r="D42" s="14">
        <v>45748</v>
      </c>
      <c r="E42" s="4">
        <v>206982.63</v>
      </c>
    </row>
    <row r="43" spans="1:5" x14ac:dyDescent="0.45">
      <c r="A43" s="12">
        <v>45809</v>
      </c>
      <c r="B43" s="7">
        <v>216983.57</v>
      </c>
      <c r="D43" s="14">
        <v>45778</v>
      </c>
      <c r="E43" s="4">
        <v>225774.67</v>
      </c>
    </row>
    <row r="44" spans="1:5" x14ac:dyDescent="0.45">
      <c r="A44" s="12">
        <v>45839</v>
      </c>
      <c r="B44" s="7">
        <v>310327.15999999997</v>
      </c>
      <c r="D44" s="14">
        <v>45809</v>
      </c>
      <c r="E44" s="4">
        <v>216983.57</v>
      </c>
    </row>
    <row r="45" spans="1:5" x14ac:dyDescent="0.45">
      <c r="A45" s="12">
        <v>45870</v>
      </c>
      <c r="B45" s="7">
        <v>311949.14</v>
      </c>
      <c r="D45" s="14">
        <v>45839</v>
      </c>
      <c r="E45" s="4">
        <v>310327.15999999997</v>
      </c>
    </row>
    <row r="46" spans="1:5" x14ac:dyDescent="0.45">
      <c r="A46" s="12">
        <v>45901</v>
      </c>
      <c r="B46" s="7">
        <v>304304.78999999998</v>
      </c>
      <c r="D46" s="14">
        <v>45870</v>
      </c>
      <c r="E46" s="4">
        <v>311949.14</v>
      </c>
    </row>
    <row r="47" spans="1:5" x14ac:dyDescent="0.45">
      <c r="A47" s="12">
        <v>45931</v>
      </c>
      <c r="B47" s="7">
        <v>359699.69</v>
      </c>
      <c r="D47" s="14">
        <v>45901</v>
      </c>
      <c r="E47" s="4">
        <v>304304.78999999998</v>
      </c>
    </row>
    <row r="48" spans="1:5" x14ac:dyDescent="0.45">
      <c r="A48" s="12">
        <v>45962</v>
      </c>
      <c r="B48" s="7">
        <v>304194.5</v>
      </c>
      <c r="D48" s="14">
        <v>45931</v>
      </c>
      <c r="E48" s="4">
        <v>359699.69</v>
      </c>
    </row>
    <row r="49" spans="1:5" x14ac:dyDescent="0.45">
      <c r="A49" s="13">
        <v>45992</v>
      </c>
      <c r="B49" s="8">
        <v>332129.99</v>
      </c>
      <c r="D49" s="14">
        <v>45962</v>
      </c>
      <c r="E49" s="4">
        <v>304194.5</v>
      </c>
    </row>
    <row r="50" spans="1:5" x14ac:dyDescent="0.45">
      <c r="D50" s="14">
        <v>45992</v>
      </c>
      <c r="E50" s="4">
        <v>332129.99</v>
      </c>
    </row>
    <row r="51" spans="1:5" x14ac:dyDescent="0.45">
      <c r="D51" s="14" t="s">
        <v>11</v>
      </c>
      <c r="E51" s="4">
        <v>11451615.09</v>
      </c>
    </row>
  </sheetData>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6BAE6-E998-445C-B735-FDE66E11734B}">
  <dimension ref="A1:J201"/>
  <sheetViews>
    <sheetView topLeftCell="D1" workbookViewId="0">
      <pane ySplit="1" topLeftCell="A2" activePane="bottomLeft" state="frozen"/>
      <selection pane="bottomLeft" activeCell="I17" sqref="I17"/>
    </sheetView>
  </sheetViews>
  <sheetFormatPr defaultRowHeight="14.25" x14ac:dyDescent="0.45"/>
  <cols>
    <col min="1" max="1" width="15.796875" bestFit="1" customWidth="1"/>
    <col min="2" max="2" width="21" bestFit="1" customWidth="1"/>
    <col min="3" max="3" width="17.86328125" bestFit="1" customWidth="1"/>
    <col min="4" max="4" width="23.73046875" bestFit="1" customWidth="1"/>
    <col min="5" max="5" width="17.9296875" bestFit="1" customWidth="1"/>
    <col min="7" max="7" width="21" bestFit="1" customWidth="1"/>
    <col min="8" max="8" width="21.73046875" bestFit="1" customWidth="1"/>
    <col min="9" max="9" width="21.6640625" bestFit="1" customWidth="1"/>
    <col min="10" max="10" width="30.33203125" bestFit="1" customWidth="1"/>
  </cols>
  <sheetData>
    <row r="1" spans="1:10" x14ac:dyDescent="0.45">
      <c r="A1" s="15" t="s">
        <v>0</v>
      </c>
      <c r="B1" s="16" t="s">
        <v>1</v>
      </c>
      <c r="C1" s="16" t="s">
        <v>2</v>
      </c>
      <c r="D1" s="16" t="s">
        <v>3</v>
      </c>
      <c r="E1" s="6" t="s">
        <v>4</v>
      </c>
    </row>
    <row r="2" spans="1:10" x14ac:dyDescent="0.45">
      <c r="A2" s="17">
        <v>44562</v>
      </c>
      <c r="B2" s="9" t="s">
        <v>5</v>
      </c>
      <c r="C2" s="9">
        <v>287</v>
      </c>
      <c r="D2" s="18">
        <v>406.78</v>
      </c>
      <c r="E2" s="19">
        <v>116744.81</v>
      </c>
      <c r="G2" s="2" t="s">
        <v>15</v>
      </c>
      <c r="H2" t="s">
        <v>12</v>
      </c>
      <c r="I2" t="s">
        <v>13</v>
      </c>
      <c r="J2" t="s">
        <v>14</v>
      </c>
    </row>
    <row r="3" spans="1:10" x14ac:dyDescent="0.45">
      <c r="A3" s="17">
        <v>44562</v>
      </c>
      <c r="B3" s="9" t="s">
        <v>6</v>
      </c>
      <c r="C3" s="9">
        <v>246</v>
      </c>
      <c r="D3" s="18">
        <v>177.25</v>
      </c>
      <c r="E3" s="19">
        <v>43602.82</v>
      </c>
      <c r="G3" s="3" t="s">
        <v>5</v>
      </c>
      <c r="H3" s="1">
        <v>5044301.53</v>
      </c>
      <c r="I3">
        <v>11071</v>
      </c>
      <c r="J3" s="4">
        <v>454.26147058823545</v>
      </c>
    </row>
    <row r="4" spans="1:10" x14ac:dyDescent="0.45">
      <c r="A4" s="17">
        <v>44562</v>
      </c>
      <c r="B4" s="9" t="s">
        <v>7</v>
      </c>
      <c r="C4" s="9">
        <v>295</v>
      </c>
      <c r="D4" s="18">
        <v>36.29</v>
      </c>
      <c r="E4" s="19">
        <v>10705.31</v>
      </c>
      <c r="G4" s="3" t="s">
        <v>6</v>
      </c>
      <c r="H4" s="1">
        <v>1525841.02</v>
      </c>
      <c r="I4">
        <v>8726</v>
      </c>
      <c r="J4" s="4">
        <v>174.46235294117642</v>
      </c>
    </row>
    <row r="5" spans="1:10" x14ac:dyDescent="0.45">
      <c r="A5" s="17">
        <v>44562</v>
      </c>
      <c r="B5" s="9" t="s">
        <v>8</v>
      </c>
      <c r="C5" s="9">
        <v>260</v>
      </c>
      <c r="D5" s="18">
        <v>32</v>
      </c>
      <c r="E5" s="19">
        <v>8321.14</v>
      </c>
      <c r="G5" s="3" t="s">
        <v>7</v>
      </c>
      <c r="H5" s="1">
        <v>305221.27999999997</v>
      </c>
      <c r="I5">
        <v>9604</v>
      </c>
      <c r="J5" s="4">
        <v>31.721818181818179</v>
      </c>
    </row>
    <row r="6" spans="1:10" x14ac:dyDescent="0.45">
      <c r="A6" s="17">
        <v>44562</v>
      </c>
      <c r="B6" s="9" t="s">
        <v>9</v>
      </c>
      <c r="C6" s="9">
        <v>263</v>
      </c>
      <c r="D6" s="18">
        <v>30.9</v>
      </c>
      <c r="E6" s="19">
        <v>8125.76</v>
      </c>
      <c r="G6" s="3" t="s">
        <v>8</v>
      </c>
      <c r="H6" s="1">
        <v>300812.21000000014</v>
      </c>
      <c r="I6">
        <v>9352</v>
      </c>
      <c r="J6" s="4">
        <v>32.131212121212116</v>
      </c>
    </row>
    <row r="7" spans="1:10" x14ac:dyDescent="0.45">
      <c r="A7" s="17">
        <v>44562</v>
      </c>
      <c r="B7" s="9" t="s">
        <v>10</v>
      </c>
      <c r="C7" s="9">
        <v>247</v>
      </c>
      <c r="D7" s="18">
        <v>10.38</v>
      </c>
      <c r="E7" s="19">
        <v>2565.06</v>
      </c>
      <c r="G7" s="3" t="s">
        <v>9</v>
      </c>
      <c r="H7" s="1">
        <v>258838.93999999997</v>
      </c>
      <c r="I7">
        <v>8255</v>
      </c>
      <c r="J7" s="4">
        <v>31.315151515151506</v>
      </c>
    </row>
    <row r="8" spans="1:10" x14ac:dyDescent="0.45">
      <c r="A8" s="17">
        <v>44593</v>
      </c>
      <c r="B8" s="9" t="s">
        <v>5</v>
      </c>
      <c r="C8" s="9">
        <v>287</v>
      </c>
      <c r="D8" s="18">
        <v>466.12</v>
      </c>
      <c r="E8" s="19">
        <v>133775.12</v>
      </c>
      <c r="G8" s="3" t="s">
        <v>10</v>
      </c>
      <c r="H8" s="1">
        <v>102807.88000000002</v>
      </c>
      <c r="I8">
        <v>9862</v>
      </c>
      <c r="J8" s="4">
        <v>10.437272727272729</v>
      </c>
    </row>
    <row r="9" spans="1:10" x14ac:dyDescent="0.45">
      <c r="A9" s="17">
        <v>44593</v>
      </c>
      <c r="B9" s="9" t="s">
        <v>6</v>
      </c>
      <c r="C9" s="9">
        <v>220</v>
      </c>
      <c r="D9" s="18">
        <v>176.03</v>
      </c>
      <c r="E9" s="19">
        <v>38726.959999999999</v>
      </c>
      <c r="G9" s="3" t="s">
        <v>11</v>
      </c>
      <c r="H9" s="1">
        <v>7537822.8600000022</v>
      </c>
      <c r="I9">
        <v>56870</v>
      </c>
      <c r="J9" s="4">
        <v>124.30794999999989</v>
      </c>
    </row>
    <row r="10" spans="1:10" x14ac:dyDescent="0.45">
      <c r="A10" s="17">
        <v>44593</v>
      </c>
      <c r="B10" s="9" t="s">
        <v>7</v>
      </c>
      <c r="C10" s="9">
        <v>281</v>
      </c>
      <c r="D10" s="18">
        <v>30.81</v>
      </c>
      <c r="E10" s="19">
        <v>8658.81</v>
      </c>
    </row>
    <row r="11" spans="1:10" x14ac:dyDescent="0.45">
      <c r="A11" s="17">
        <v>44593</v>
      </c>
      <c r="B11" s="9" t="s">
        <v>9</v>
      </c>
      <c r="C11" s="9">
        <v>229</v>
      </c>
      <c r="D11" s="18">
        <v>31.05</v>
      </c>
      <c r="E11" s="19">
        <v>7111.45</v>
      </c>
    </row>
    <row r="12" spans="1:10" x14ac:dyDescent="0.45">
      <c r="A12" s="17">
        <v>44593</v>
      </c>
      <c r="B12" s="9" t="s">
        <v>8</v>
      </c>
      <c r="C12" s="9">
        <v>210</v>
      </c>
      <c r="D12" s="18">
        <v>31.3</v>
      </c>
      <c r="E12" s="19">
        <v>6572.25</v>
      </c>
      <c r="G12" s="2" t="s">
        <v>15</v>
      </c>
      <c r="H12" t="s">
        <v>12</v>
      </c>
    </row>
    <row r="13" spans="1:10" x14ac:dyDescent="0.45">
      <c r="A13" s="17">
        <v>44593</v>
      </c>
      <c r="B13" s="9" t="s">
        <v>10</v>
      </c>
      <c r="C13" s="9">
        <v>246</v>
      </c>
      <c r="D13" s="18">
        <v>10.91</v>
      </c>
      <c r="E13" s="19">
        <v>2684.59</v>
      </c>
      <c r="G13" s="3" t="s">
        <v>5</v>
      </c>
      <c r="H13" s="1">
        <v>5044301.53</v>
      </c>
    </row>
    <row r="14" spans="1:10" x14ac:dyDescent="0.45">
      <c r="A14" s="17">
        <v>44621</v>
      </c>
      <c r="B14" s="9" t="s">
        <v>5</v>
      </c>
      <c r="C14" s="9">
        <v>319</v>
      </c>
      <c r="D14" s="18">
        <v>434.93</v>
      </c>
      <c r="E14" s="19">
        <v>138741.9</v>
      </c>
      <c r="G14" s="3" t="s">
        <v>6</v>
      </c>
      <c r="H14" s="1">
        <v>1525841.02</v>
      </c>
    </row>
    <row r="15" spans="1:10" x14ac:dyDescent="0.45">
      <c r="A15" s="17">
        <v>44621</v>
      </c>
      <c r="B15" s="9" t="s">
        <v>6</v>
      </c>
      <c r="C15" s="9">
        <v>255</v>
      </c>
      <c r="D15" s="18">
        <v>179.6</v>
      </c>
      <c r="E15" s="19">
        <v>45798.15</v>
      </c>
      <c r="G15" s="3" t="s">
        <v>7</v>
      </c>
      <c r="H15" s="1">
        <v>305221.27999999997</v>
      </c>
    </row>
    <row r="16" spans="1:10" x14ac:dyDescent="0.45">
      <c r="A16" s="17">
        <v>44621</v>
      </c>
      <c r="B16" s="9" t="s">
        <v>8</v>
      </c>
      <c r="C16" s="9">
        <v>247</v>
      </c>
      <c r="D16" s="18">
        <v>33.79</v>
      </c>
      <c r="E16" s="19">
        <v>8345.17</v>
      </c>
      <c r="G16" s="3" t="s">
        <v>8</v>
      </c>
      <c r="H16" s="1">
        <v>300812.21000000014</v>
      </c>
    </row>
    <row r="17" spans="1:8" x14ac:dyDescent="0.45">
      <c r="A17" s="17">
        <v>44621</v>
      </c>
      <c r="B17" s="9" t="s">
        <v>7</v>
      </c>
      <c r="C17" s="9">
        <v>235</v>
      </c>
      <c r="D17" s="18">
        <v>32.03</v>
      </c>
      <c r="E17" s="19">
        <v>7527.35</v>
      </c>
      <c r="G17" s="3" t="s">
        <v>9</v>
      </c>
      <c r="H17" s="1">
        <v>258838.93999999997</v>
      </c>
    </row>
    <row r="18" spans="1:8" x14ac:dyDescent="0.45">
      <c r="A18" s="17">
        <v>44621</v>
      </c>
      <c r="B18" s="9" t="s">
        <v>9</v>
      </c>
      <c r="C18" s="9">
        <v>232</v>
      </c>
      <c r="D18" s="18">
        <v>31.24</v>
      </c>
      <c r="E18" s="19">
        <v>7247.35</v>
      </c>
      <c r="G18" s="3" t="s">
        <v>10</v>
      </c>
      <c r="H18" s="1">
        <v>102807.88000000002</v>
      </c>
    </row>
    <row r="19" spans="1:8" x14ac:dyDescent="0.45">
      <c r="A19" s="17">
        <v>44621</v>
      </c>
      <c r="B19" s="9" t="s">
        <v>10</v>
      </c>
      <c r="C19" s="9">
        <v>243</v>
      </c>
      <c r="D19" s="18">
        <v>10.57</v>
      </c>
      <c r="E19" s="19">
        <v>2568.56</v>
      </c>
      <c r="G19" s="3" t="s">
        <v>11</v>
      </c>
      <c r="H19" s="1">
        <v>7537822.8600000013</v>
      </c>
    </row>
    <row r="20" spans="1:8" x14ac:dyDescent="0.45">
      <c r="A20" s="17">
        <v>44652</v>
      </c>
      <c r="B20" s="9" t="s">
        <v>5</v>
      </c>
      <c r="C20" s="9">
        <v>271</v>
      </c>
      <c r="D20" s="18">
        <v>387.06</v>
      </c>
      <c r="E20" s="19">
        <v>104893.91</v>
      </c>
    </row>
    <row r="21" spans="1:8" x14ac:dyDescent="0.45">
      <c r="A21" s="17">
        <v>44652</v>
      </c>
      <c r="B21" s="9" t="s">
        <v>6</v>
      </c>
      <c r="C21" s="9">
        <v>287</v>
      </c>
      <c r="D21" s="18">
        <v>176.49</v>
      </c>
      <c r="E21" s="19">
        <v>50652.97</v>
      </c>
    </row>
    <row r="22" spans="1:8" x14ac:dyDescent="0.45">
      <c r="A22" s="17">
        <v>44652</v>
      </c>
      <c r="B22" s="9" t="s">
        <v>8</v>
      </c>
      <c r="C22" s="9">
        <v>221</v>
      </c>
      <c r="D22" s="18">
        <v>31.82</v>
      </c>
      <c r="E22" s="19">
        <v>7032.77</v>
      </c>
    </row>
    <row r="23" spans="1:8" x14ac:dyDescent="0.45">
      <c r="A23" s="17">
        <v>44652</v>
      </c>
      <c r="B23" s="9" t="s">
        <v>7</v>
      </c>
      <c r="C23" s="9">
        <v>242</v>
      </c>
      <c r="D23" s="18">
        <v>28.34</v>
      </c>
      <c r="E23" s="19">
        <v>6859.03</v>
      </c>
    </row>
    <row r="24" spans="1:8" x14ac:dyDescent="0.45">
      <c r="A24" s="17">
        <v>44652</v>
      </c>
      <c r="B24" s="9" t="s">
        <v>9</v>
      </c>
      <c r="C24" s="9">
        <v>226</v>
      </c>
      <c r="D24" s="18">
        <v>30.27</v>
      </c>
      <c r="E24" s="19">
        <v>6841.63</v>
      </c>
    </row>
    <row r="25" spans="1:8" x14ac:dyDescent="0.45">
      <c r="A25" s="17">
        <v>44652</v>
      </c>
      <c r="B25" s="9" t="s">
        <v>10</v>
      </c>
      <c r="C25" s="9">
        <v>247</v>
      </c>
      <c r="D25" s="18">
        <v>11.03</v>
      </c>
      <c r="E25" s="19">
        <v>2723.87</v>
      </c>
    </row>
    <row r="26" spans="1:8" x14ac:dyDescent="0.45">
      <c r="A26" s="17">
        <v>44682</v>
      </c>
      <c r="B26" s="9" t="s">
        <v>5</v>
      </c>
      <c r="C26" s="9">
        <v>290</v>
      </c>
      <c r="D26" s="18">
        <v>434.24</v>
      </c>
      <c r="E26" s="19">
        <v>125929.83</v>
      </c>
    </row>
    <row r="27" spans="1:8" x14ac:dyDescent="0.45">
      <c r="A27" s="17">
        <v>44682</v>
      </c>
      <c r="B27" s="9" t="s">
        <v>6</v>
      </c>
      <c r="C27" s="9">
        <v>321</v>
      </c>
      <c r="D27" s="18">
        <v>186.62</v>
      </c>
      <c r="E27" s="19">
        <v>59906.54</v>
      </c>
    </row>
    <row r="28" spans="1:8" x14ac:dyDescent="0.45">
      <c r="A28" s="17">
        <v>44682</v>
      </c>
      <c r="B28" s="9" t="s">
        <v>7</v>
      </c>
      <c r="C28" s="9">
        <v>264</v>
      </c>
      <c r="D28" s="18">
        <v>31.69</v>
      </c>
      <c r="E28" s="19">
        <v>8367.0300000000007</v>
      </c>
    </row>
    <row r="29" spans="1:8" x14ac:dyDescent="0.45">
      <c r="A29" s="17">
        <v>44682</v>
      </c>
      <c r="B29" s="9" t="s">
        <v>8</v>
      </c>
      <c r="C29" s="9">
        <v>245</v>
      </c>
      <c r="D29" s="18">
        <v>31.69</v>
      </c>
      <c r="E29" s="19">
        <v>7762.91</v>
      </c>
    </row>
    <row r="30" spans="1:8" x14ac:dyDescent="0.45">
      <c r="A30" s="17">
        <v>44682</v>
      </c>
      <c r="B30" s="9" t="s">
        <v>9</v>
      </c>
      <c r="C30" s="9">
        <v>235</v>
      </c>
      <c r="D30" s="18">
        <v>32.369999999999997</v>
      </c>
      <c r="E30" s="19">
        <v>7608.12</v>
      </c>
    </row>
    <row r="31" spans="1:8" x14ac:dyDescent="0.45">
      <c r="A31" s="17">
        <v>44682</v>
      </c>
      <c r="B31" s="9" t="s">
        <v>10</v>
      </c>
      <c r="C31" s="9">
        <v>236</v>
      </c>
      <c r="D31" s="18">
        <v>10.4</v>
      </c>
      <c r="E31" s="19">
        <v>2454.27</v>
      </c>
    </row>
    <row r="32" spans="1:8" x14ac:dyDescent="0.45">
      <c r="A32" s="17">
        <v>44713</v>
      </c>
      <c r="B32" s="9" t="s">
        <v>5</v>
      </c>
      <c r="C32" s="9">
        <v>264</v>
      </c>
      <c r="D32" s="18">
        <v>478.94</v>
      </c>
      <c r="E32" s="19">
        <v>126439.66</v>
      </c>
    </row>
    <row r="33" spans="1:5" x14ac:dyDescent="0.45">
      <c r="A33" s="17">
        <v>44713</v>
      </c>
      <c r="B33" s="9" t="s">
        <v>6</v>
      </c>
      <c r="C33" s="9">
        <v>262</v>
      </c>
      <c r="D33" s="18">
        <v>181.92</v>
      </c>
      <c r="E33" s="19">
        <v>47663.45</v>
      </c>
    </row>
    <row r="34" spans="1:5" x14ac:dyDescent="0.45">
      <c r="A34" s="17">
        <v>44713</v>
      </c>
      <c r="B34" s="9" t="s">
        <v>7</v>
      </c>
      <c r="C34" s="9">
        <v>279</v>
      </c>
      <c r="D34" s="18">
        <v>30.05</v>
      </c>
      <c r="E34" s="19">
        <v>8384</v>
      </c>
    </row>
    <row r="35" spans="1:5" x14ac:dyDescent="0.45">
      <c r="A35" s="17">
        <v>44713</v>
      </c>
      <c r="B35" s="9" t="s">
        <v>8</v>
      </c>
      <c r="C35" s="9">
        <v>226</v>
      </c>
      <c r="D35" s="18">
        <v>31.68</v>
      </c>
      <c r="E35" s="19">
        <v>7159.43</v>
      </c>
    </row>
    <row r="36" spans="1:5" x14ac:dyDescent="0.45">
      <c r="A36" s="17">
        <v>44713</v>
      </c>
      <c r="B36" s="9" t="s">
        <v>9</v>
      </c>
      <c r="C36" s="9">
        <v>198</v>
      </c>
      <c r="D36" s="18">
        <v>30.45</v>
      </c>
      <c r="E36" s="19">
        <v>6029.32</v>
      </c>
    </row>
    <row r="37" spans="1:5" x14ac:dyDescent="0.45">
      <c r="A37" s="17">
        <v>44713</v>
      </c>
      <c r="B37" s="9" t="s">
        <v>10</v>
      </c>
      <c r="C37" s="9">
        <v>258</v>
      </c>
      <c r="D37" s="18">
        <v>10.24</v>
      </c>
      <c r="E37" s="19">
        <v>2643.12</v>
      </c>
    </row>
    <row r="38" spans="1:5" x14ac:dyDescent="0.45">
      <c r="A38" s="17">
        <v>44743</v>
      </c>
      <c r="B38" s="9" t="s">
        <v>5</v>
      </c>
      <c r="C38" s="9">
        <v>303</v>
      </c>
      <c r="D38" s="18">
        <v>512.03</v>
      </c>
      <c r="E38" s="19">
        <v>155146.35</v>
      </c>
    </row>
    <row r="39" spans="1:5" x14ac:dyDescent="0.45">
      <c r="A39" s="17">
        <v>44743</v>
      </c>
      <c r="B39" s="9" t="s">
        <v>6</v>
      </c>
      <c r="C39" s="9">
        <v>263</v>
      </c>
      <c r="D39" s="18">
        <v>183.53</v>
      </c>
      <c r="E39" s="19">
        <v>48268.19</v>
      </c>
    </row>
    <row r="40" spans="1:5" x14ac:dyDescent="0.45">
      <c r="A40" s="17">
        <v>44743</v>
      </c>
      <c r="B40" s="9" t="s">
        <v>7</v>
      </c>
      <c r="C40" s="9">
        <v>297</v>
      </c>
      <c r="D40" s="18">
        <v>34.24</v>
      </c>
      <c r="E40" s="19">
        <v>10170.23</v>
      </c>
    </row>
    <row r="41" spans="1:5" x14ac:dyDescent="0.45">
      <c r="A41" s="17">
        <v>44743</v>
      </c>
      <c r="B41" s="9" t="s">
        <v>8</v>
      </c>
      <c r="C41" s="9">
        <v>264</v>
      </c>
      <c r="D41" s="18">
        <v>30.77</v>
      </c>
      <c r="E41" s="19">
        <v>8122.23</v>
      </c>
    </row>
    <row r="42" spans="1:5" x14ac:dyDescent="0.45">
      <c r="A42" s="17">
        <v>44743</v>
      </c>
      <c r="B42" s="9" t="s">
        <v>9</v>
      </c>
      <c r="C42" s="9">
        <v>210</v>
      </c>
      <c r="D42" s="18">
        <v>32</v>
      </c>
      <c r="E42" s="19">
        <v>6720</v>
      </c>
    </row>
    <row r="43" spans="1:5" x14ac:dyDescent="0.45">
      <c r="A43" s="17">
        <v>44743</v>
      </c>
      <c r="B43" s="9" t="s">
        <v>10</v>
      </c>
      <c r="C43" s="9">
        <v>267</v>
      </c>
      <c r="D43" s="18">
        <v>10.42</v>
      </c>
      <c r="E43" s="19">
        <v>2781.13</v>
      </c>
    </row>
    <row r="44" spans="1:5" x14ac:dyDescent="0.45">
      <c r="A44" s="17">
        <v>44774</v>
      </c>
      <c r="B44" s="9" t="s">
        <v>5</v>
      </c>
      <c r="C44" s="9">
        <v>303</v>
      </c>
      <c r="D44" s="18">
        <v>423.52</v>
      </c>
      <c r="E44" s="19">
        <v>128326.56</v>
      </c>
    </row>
    <row r="45" spans="1:5" x14ac:dyDescent="0.45">
      <c r="A45" s="17">
        <v>44774</v>
      </c>
      <c r="B45" s="9" t="s">
        <v>6</v>
      </c>
      <c r="C45" s="9">
        <v>279</v>
      </c>
      <c r="D45" s="18">
        <v>183.67</v>
      </c>
      <c r="E45" s="19">
        <v>51244.4</v>
      </c>
    </row>
    <row r="46" spans="1:5" x14ac:dyDescent="0.45">
      <c r="A46" s="17">
        <v>44774</v>
      </c>
      <c r="B46" s="9" t="s">
        <v>7</v>
      </c>
      <c r="C46" s="9">
        <v>273</v>
      </c>
      <c r="D46" s="18">
        <v>30.34</v>
      </c>
      <c r="E46" s="19">
        <v>8281.8700000000008</v>
      </c>
    </row>
    <row r="47" spans="1:5" x14ac:dyDescent="0.45">
      <c r="A47" s="17">
        <v>44774</v>
      </c>
      <c r="B47" s="9" t="s">
        <v>8</v>
      </c>
      <c r="C47" s="9">
        <v>236</v>
      </c>
      <c r="D47" s="18">
        <v>28.96</v>
      </c>
      <c r="E47" s="19">
        <v>6834.3</v>
      </c>
    </row>
    <row r="48" spans="1:5" x14ac:dyDescent="0.45">
      <c r="A48" s="17">
        <v>44774</v>
      </c>
      <c r="B48" s="9" t="s">
        <v>9</v>
      </c>
      <c r="C48" s="9">
        <v>213</v>
      </c>
      <c r="D48" s="18">
        <v>27.67</v>
      </c>
      <c r="E48" s="19">
        <v>5894.12</v>
      </c>
    </row>
    <row r="49" spans="1:5" x14ac:dyDescent="0.45">
      <c r="A49" s="17">
        <v>44774</v>
      </c>
      <c r="B49" s="9" t="s">
        <v>10</v>
      </c>
      <c r="C49" s="9">
        <v>265</v>
      </c>
      <c r="D49" s="18">
        <v>11.03</v>
      </c>
      <c r="E49" s="19">
        <v>2922.15</v>
      </c>
    </row>
    <row r="50" spans="1:5" x14ac:dyDescent="0.45">
      <c r="A50" s="17">
        <v>44805</v>
      </c>
      <c r="B50" s="9" t="s">
        <v>5</v>
      </c>
      <c r="C50" s="9">
        <v>238</v>
      </c>
      <c r="D50" s="18">
        <v>386.36</v>
      </c>
      <c r="E50" s="19">
        <v>91952.73</v>
      </c>
    </row>
    <row r="51" spans="1:5" x14ac:dyDescent="0.45">
      <c r="A51" s="17">
        <v>44805</v>
      </c>
      <c r="B51" s="9" t="s">
        <v>6</v>
      </c>
      <c r="C51" s="9">
        <v>248</v>
      </c>
      <c r="D51" s="18">
        <v>175.44</v>
      </c>
      <c r="E51" s="19">
        <v>43509.63</v>
      </c>
    </row>
    <row r="52" spans="1:5" x14ac:dyDescent="0.45">
      <c r="A52" s="17">
        <v>44805</v>
      </c>
      <c r="B52" s="9" t="s">
        <v>7</v>
      </c>
      <c r="C52" s="9">
        <v>245</v>
      </c>
      <c r="D52" s="18">
        <v>30.94</v>
      </c>
      <c r="E52" s="19">
        <v>7580.35</v>
      </c>
    </row>
    <row r="53" spans="1:5" x14ac:dyDescent="0.45">
      <c r="A53" s="17">
        <v>44805</v>
      </c>
      <c r="B53" s="9" t="s">
        <v>9</v>
      </c>
      <c r="C53" s="9">
        <v>219</v>
      </c>
      <c r="D53" s="18">
        <v>31.66</v>
      </c>
      <c r="E53" s="19">
        <v>6933.62</v>
      </c>
    </row>
    <row r="54" spans="1:5" x14ac:dyDescent="0.45">
      <c r="A54" s="17">
        <v>44805</v>
      </c>
      <c r="B54" s="9" t="s">
        <v>8</v>
      </c>
      <c r="C54" s="9">
        <v>216</v>
      </c>
      <c r="D54" s="18">
        <v>30.62</v>
      </c>
      <c r="E54" s="19">
        <v>6614.38</v>
      </c>
    </row>
    <row r="55" spans="1:5" x14ac:dyDescent="0.45">
      <c r="A55" s="17">
        <v>44805</v>
      </c>
      <c r="B55" s="9" t="s">
        <v>10</v>
      </c>
      <c r="C55" s="9">
        <v>250</v>
      </c>
      <c r="D55" s="18">
        <v>9.4499999999999993</v>
      </c>
      <c r="E55" s="19">
        <v>2362.0300000000002</v>
      </c>
    </row>
    <row r="56" spans="1:5" x14ac:dyDescent="0.45">
      <c r="A56" s="17">
        <v>44835</v>
      </c>
      <c r="B56" s="9" t="s">
        <v>5</v>
      </c>
      <c r="C56" s="9">
        <v>282</v>
      </c>
      <c r="D56" s="18">
        <v>433.55</v>
      </c>
      <c r="E56" s="19">
        <v>122260.51</v>
      </c>
    </row>
    <row r="57" spans="1:5" x14ac:dyDescent="0.45">
      <c r="A57" s="17">
        <v>44835</v>
      </c>
      <c r="B57" s="9" t="s">
        <v>6</v>
      </c>
      <c r="C57" s="9">
        <v>281</v>
      </c>
      <c r="D57" s="18">
        <v>178.42</v>
      </c>
      <c r="E57" s="19">
        <v>50134.86</v>
      </c>
    </row>
    <row r="58" spans="1:5" x14ac:dyDescent="0.45">
      <c r="A58" s="17">
        <v>44835</v>
      </c>
      <c r="B58" s="9" t="s">
        <v>7</v>
      </c>
      <c r="C58" s="9">
        <v>301</v>
      </c>
      <c r="D58" s="18">
        <v>33.369999999999997</v>
      </c>
      <c r="E58" s="19">
        <v>10043.620000000001</v>
      </c>
    </row>
    <row r="59" spans="1:5" x14ac:dyDescent="0.45">
      <c r="A59" s="17">
        <v>44835</v>
      </c>
      <c r="B59" s="9" t="s">
        <v>9</v>
      </c>
      <c r="C59" s="9">
        <v>238</v>
      </c>
      <c r="D59" s="18">
        <v>32.47</v>
      </c>
      <c r="E59" s="19">
        <v>7727.1</v>
      </c>
    </row>
    <row r="60" spans="1:5" x14ac:dyDescent="0.45">
      <c r="A60" s="17">
        <v>44835</v>
      </c>
      <c r="B60" s="9" t="s">
        <v>8</v>
      </c>
      <c r="C60" s="9">
        <v>237</v>
      </c>
      <c r="D60" s="18">
        <v>31.94</v>
      </c>
      <c r="E60" s="19">
        <v>7568.96</v>
      </c>
    </row>
    <row r="61" spans="1:5" x14ac:dyDescent="0.45">
      <c r="A61" s="17">
        <v>44835</v>
      </c>
      <c r="B61" s="9" t="s">
        <v>10</v>
      </c>
      <c r="C61" s="9">
        <v>254</v>
      </c>
      <c r="D61" s="18">
        <v>10.58</v>
      </c>
      <c r="E61" s="19">
        <v>2688.02</v>
      </c>
    </row>
    <row r="62" spans="1:5" x14ac:dyDescent="0.45">
      <c r="A62" s="17">
        <v>44866</v>
      </c>
      <c r="B62" s="9" t="s">
        <v>5</v>
      </c>
      <c r="C62" s="9">
        <v>288</v>
      </c>
      <c r="D62" s="18">
        <v>437.05</v>
      </c>
      <c r="E62" s="19">
        <v>125870.2</v>
      </c>
    </row>
    <row r="63" spans="1:5" x14ac:dyDescent="0.45">
      <c r="A63" s="17">
        <v>44866</v>
      </c>
      <c r="B63" s="9" t="s">
        <v>6</v>
      </c>
      <c r="C63" s="9">
        <v>287</v>
      </c>
      <c r="D63" s="18">
        <v>181.69</v>
      </c>
      <c r="E63" s="19">
        <v>52143.68</v>
      </c>
    </row>
    <row r="64" spans="1:5" x14ac:dyDescent="0.45">
      <c r="A64" s="17">
        <v>44866</v>
      </c>
      <c r="B64" s="9" t="s">
        <v>8</v>
      </c>
      <c r="C64" s="9">
        <v>250</v>
      </c>
      <c r="D64" s="18">
        <v>32.5</v>
      </c>
      <c r="E64" s="19">
        <v>8126.1</v>
      </c>
    </row>
    <row r="65" spans="1:5" x14ac:dyDescent="0.45">
      <c r="A65" s="17">
        <v>44866</v>
      </c>
      <c r="B65" s="9" t="s">
        <v>7</v>
      </c>
      <c r="C65" s="9">
        <v>239</v>
      </c>
      <c r="D65" s="18">
        <v>29.48</v>
      </c>
      <c r="E65" s="19">
        <v>7046.53</v>
      </c>
    </row>
    <row r="66" spans="1:5" x14ac:dyDescent="0.45">
      <c r="A66" s="17">
        <v>44866</v>
      </c>
      <c r="B66" s="9" t="s">
        <v>9</v>
      </c>
      <c r="C66" s="9">
        <v>221</v>
      </c>
      <c r="D66" s="18">
        <v>28.25</v>
      </c>
      <c r="E66" s="19">
        <v>6242.92</v>
      </c>
    </row>
    <row r="67" spans="1:5" x14ac:dyDescent="0.45">
      <c r="A67" s="17">
        <v>44866</v>
      </c>
      <c r="B67" s="9" t="s">
        <v>10</v>
      </c>
      <c r="C67" s="9">
        <v>266</v>
      </c>
      <c r="D67" s="18">
        <v>11.04</v>
      </c>
      <c r="E67" s="19">
        <v>2935.7</v>
      </c>
    </row>
    <row r="68" spans="1:5" x14ac:dyDescent="0.45">
      <c r="A68" s="17">
        <v>44896</v>
      </c>
      <c r="B68" s="9" t="s">
        <v>5</v>
      </c>
      <c r="C68" s="9">
        <v>291</v>
      </c>
      <c r="D68" s="18">
        <v>487.62</v>
      </c>
      <c r="E68" s="19">
        <v>141896.01999999999</v>
      </c>
    </row>
    <row r="69" spans="1:5" x14ac:dyDescent="0.45">
      <c r="A69" s="17">
        <v>44896</v>
      </c>
      <c r="B69" s="9" t="s">
        <v>6</v>
      </c>
      <c r="C69" s="9">
        <v>305</v>
      </c>
      <c r="D69" s="18">
        <v>184.67</v>
      </c>
      <c r="E69" s="19">
        <v>56323.59</v>
      </c>
    </row>
    <row r="70" spans="1:5" x14ac:dyDescent="0.45">
      <c r="A70" s="17">
        <v>44896</v>
      </c>
      <c r="B70" s="9" t="s">
        <v>8</v>
      </c>
      <c r="C70" s="9">
        <v>259</v>
      </c>
      <c r="D70" s="18">
        <v>33.99</v>
      </c>
      <c r="E70" s="19">
        <v>8802.2000000000007</v>
      </c>
    </row>
    <row r="71" spans="1:5" x14ac:dyDescent="0.45">
      <c r="A71" s="17">
        <v>44896</v>
      </c>
      <c r="B71" s="9" t="s">
        <v>7</v>
      </c>
      <c r="C71" s="9">
        <v>271</v>
      </c>
      <c r="D71" s="18">
        <v>32.450000000000003</v>
      </c>
      <c r="E71" s="19">
        <v>8793.49</v>
      </c>
    </row>
    <row r="72" spans="1:5" x14ac:dyDescent="0.45">
      <c r="A72" s="17">
        <v>44896</v>
      </c>
      <c r="B72" s="9" t="s">
        <v>9</v>
      </c>
      <c r="C72" s="9">
        <v>221</v>
      </c>
      <c r="D72" s="18">
        <v>34.32</v>
      </c>
      <c r="E72" s="19">
        <v>7584.56</v>
      </c>
    </row>
    <row r="73" spans="1:5" x14ac:dyDescent="0.45">
      <c r="A73" s="17">
        <v>44896</v>
      </c>
      <c r="B73" s="9" t="s">
        <v>10</v>
      </c>
      <c r="C73" s="9">
        <v>287</v>
      </c>
      <c r="D73" s="18">
        <v>10.25</v>
      </c>
      <c r="E73" s="19">
        <v>2940.95</v>
      </c>
    </row>
    <row r="74" spans="1:5" x14ac:dyDescent="0.45">
      <c r="A74" s="17">
        <v>44927</v>
      </c>
      <c r="B74" s="9" t="s">
        <v>5</v>
      </c>
      <c r="C74" s="9">
        <v>382</v>
      </c>
      <c r="D74" s="18">
        <v>462.33</v>
      </c>
      <c r="E74" s="19">
        <v>176610.34</v>
      </c>
    </row>
    <row r="75" spans="1:5" x14ac:dyDescent="0.45">
      <c r="A75" s="17">
        <v>44927</v>
      </c>
      <c r="B75" s="9" t="s">
        <v>6</v>
      </c>
      <c r="C75" s="9">
        <v>203</v>
      </c>
      <c r="D75" s="18">
        <v>168.95</v>
      </c>
      <c r="E75" s="19">
        <v>34297.449999999997</v>
      </c>
    </row>
    <row r="76" spans="1:5" x14ac:dyDescent="0.45">
      <c r="A76" s="17">
        <v>44927</v>
      </c>
      <c r="B76" s="9" t="s">
        <v>8</v>
      </c>
      <c r="C76" s="9">
        <v>354</v>
      </c>
      <c r="D76" s="18">
        <v>33.89</v>
      </c>
      <c r="E76" s="19">
        <v>11997.04</v>
      </c>
    </row>
    <row r="77" spans="1:5" x14ac:dyDescent="0.45">
      <c r="A77" s="17">
        <v>44927</v>
      </c>
      <c r="B77" s="9" t="s">
        <v>7</v>
      </c>
      <c r="C77" s="9">
        <v>317</v>
      </c>
      <c r="D77" s="18">
        <v>37.590000000000003</v>
      </c>
      <c r="E77" s="19">
        <v>11914.83</v>
      </c>
    </row>
    <row r="78" spans="1:5" x14ac:dyDescent="0.45">
      <c r="A78" s="17">
        <v>44927</v>
      </c>
      <c r="B78" s="9" t="s">
        <v>9</v>
      </c>
      <c r="C78" s="9">
        <v>270</v>
      </c>
      <c r="D78" s="18">
        <v>33.07</v>
      </c>
      <c r="E78" s="19">
        <v>8929.77</v>
      </c>
    </row>
    <row r="79" spans="1:5" x14ac:dyDescent="0.45">
      <c r="A79" s="17">
        <v>44927</v>
      </c>
      <c r="B79" s="9" t="s">
        <v>10</v>
      </c>
      <c r="C79" s="9">
        <v>328</v>
      </c>
      <c r="D79" s="18">
        <v>10.54</v>
      </c>
      <c r="E79" s="19">
        <v>3458.37</v>
      </c>
    </row>
    <row r="80" spans="1:5" x14ac:dyDescent="0.45">
      <c r="A80" s="17">
        <v>44958</v>
      </c>
      <c r="B80" s="9" t="s">
        <v>5</v>
      </c>
      <c r="C80" s="9">
        <v>339</v>
      </c>
      <c r="D80" s="18">
        <v>462.39</v>
      </c>
      <c r="E80" s="19">
        <v>156748.57</v>
      </c>
    </row>
    <row r="81" spans="1:5" x14ac:dyDescent="0.45">
      <c r="A81" s="17">
        <v>44958</v>
      </c>
      <c r="B81" s="9" t="s">
        <v>6</v>
      </c>
      <c r="C81" s="9">
        <v>171</v>
      </c>
      <c r="D81" s="18">
        <v>170.6</v>
      </c>
      <c r="E81" s="19">
        <v>29171.94</v>
      </c>
    </row>
    <row r="82" spans="1:5" x14ac:dyDescent="0.45">
      <c r="A82" s="17">
        <v>44958</v>
      </c>
      <c r="B82" s="9" t="s">
        <v>8</v>
      </c>
      <c r="C82" s="9">
        <v>291</v>
      </c>
      <c r="D82" s="18">
        <v>32.53</v>
      </c>
      <c r="E82" s="19">
        <v>9467.64</v>
      </c>
    </row>
    <row r="83" spans="1:5" x14ac:dyDescent="0.45">
      <c r="A83" s="17">
        <v>44958</v>
      </c>
      <c r="B83" s="9" t="s">
        <v>9</v>
      </c>
      <c r="C83" s="9">
        <v>261</v>
      </c>
      <c r="D83" s="18">
        <v>31.9</v>
      </c>
      <c r="E83" s="19">
        <v>8326.85</v>
      </c>
    </row>
    <row r="84" spans="1:5" x14ac:dyDescent="0.45">
      <c r="A84" s="17">
        <v>44958</v>
      </c>
      <c r="B84" s="9" t="s">
        <v>7</v>
      </c>
      <c r="C84" s="9">
        <v>284</v>
      </c>
      <c r="D84" s="18">
        <v>29.19</v>
      </c>
      <c r="E84" s="19">
        <v>8289.9699999999993</v>
      </c>
    </row>
    <row r="85" spans="1:5" x14ac:dyDescent="0.45">
      <c r="A85" s="17">
        <v>44958</v>
      </c>
      <c r="B85" s="9" t="s">
        <v>10</v>
      </c>
      <c r="C85" s="9">
        <v>302</v>
      </c>
      <c r="D85" s="18">
        <v>10.4</v>
      </c>
      <c r="E85" s="19">
        <v>3141.58</v>
      </c>
    </row>
    <row r="86" spans="1:5" x14ac:dyDescent="0.45">
      <c r="A86" s="17">
        <v>44986</v>
      </c>
      <c r="B86" s="9" t="s">
        <v>5</v>
      </c>
      <c r="C86" s="9">
        <v>317</v>
      </c>
      <c r="D86" s="18">
        <v>453.23</v>
      </c>
      <c r="E86" s="19">
        <v>143674.16</v>
      </c>
    </row>
    <row r="87" spans="1:5" x14ac:dyDescent="0.45">
      <c r="A87" s="17">
        <v>44986</v>
      </c>
      <c r="B87" s="9" t="s">
        <v>6</v>
      </c>
      <c r="C87" s="9">
        <v>209</v>
      </c>
      <c r="D87" s="18">
        <v>171.13</v>
      </c>
      <c r="E87" s="19">
        <v>35766.629999999997</v>
      </c>
    </row>
    <row r="88" spans="1:5" x14ac:dyDescent="0.45">
      <c r="A88" s="17">
        <v>44986</v>
      </c>
      <c r="B88" s="9" t="s">
        <v>8</v>
      </c>
      <c r="C88" s="9">
        <v>317</v>
      </c>
      <c r="D88" s="18">
        <v>32.869999999999997</v>
      </c>
      <c r="E88" s="19">
        <v>10419.530000000001</v>
      </c>
    </row>
    <row r="89" spans="1:5" x14ac:dyDescent="0.45">
      <c r="A89" s="17">
        <v>44986</v>
      </c>
      <c r="B89" s="9" t="s">
        <v>7</v>
      </c>
      <c r="C89" s="9">
        <v>333</v>
      </c>
      <c r="D89" s="18">
        <v>30.78</v>
      </c>
      <c r="E89" s="19">
        <v>10249.780000000001</v>
      </c>
    </row>
    <row r="90" spans="1:5" x14ac:dyDescent="0.45">
      <c r="A90" s="17">
        <v>44986</v>
      </c>
      <c r="B90" s="9" t="s">
        <v>9</v>
      </c>
      <c r="C90" s="9">
        <v>267</v>
      </c>
      <c r="D90" s="18">
        <v>32.659999999999997</v>
      </c>
      <c r="E90" s="19">
        <v>8719.74</v>
      </c>
    </row>
    <row r="91" spans="1:5" x14ac:dyDescent="0.45">
      <c r="A91" s="17">
        <v>44986</v>
      </c>
      <c r="B91" s="9" t="s">
        <v>10</v>
      </c>
      <c r="C91" s="9">
        <v>350</v>
      </c>
      <c r="D91" s="18">
        <v>10.19</v>
      </c>
      <c r="E91" s="19">
        <v>3567.26</v>
      </c>
    </row>
    <row r="92" spans="1:5" x14ac:dyDescent="0.45">
      <c r="A92" s="17">
        <v>45017</v>
      </c>
      <c r="B92" s="9" t="s">
        <v>5</v>
      </c>
      <c r="C92" s="9">
        <v>381</v>
      </c>
      <c r="D92" s="18">
        <v>484.21</v>
      </c>
      <c r="E92" s="19">
        <v>184482.29</v>
      </c>
    </row>
    <row r="93" spans="1:5" x14ac:dyDescent="0.45">
      <c r="A93" s="17">
        <v>45017</v>
      </c>
      <c r="B93" s="9" t="s">
        <v>6</v>
      </c>
      <c r="C93" s="9">
        <v>212</v>
      </c>
      <c r="D93" s="18">
        <v>170.12</v>
      </c>
      <c r="E93" s="19">
        <v>36065.03</v>
      </c>
    </row>
    <row r="94" spans="1:5" x14ac:dyDescent="0.45">
      <c r="A94" s="17">
        <v>45017</v>
      </c>
      <c r="B94" s="9" t="s">
        <v>8</v>
      </c>
      <c r="C94" s="9">
        <v>328</v>
      </c>
      <c r="D94" s="18">
        <v>32.14</v>
      </c>
      <c r="E94" s="19">
        <v>10541.37</v>
      </c>
    </row>
    <row r="95" spans="1:5" x14ac:dyDescent="0.45">
      <c r="A95" s="17">
        <v>45017</v>
      </c>
      <c r="B95" s="9" t="s">
        <v>7</v>
      </c>
      <c r="C95" s="9">
        <v>326</v>
      </c>
      <c r="D95" s="18">
        <v>31.79</v>
      </c>
      <c r="E95" s="19">
        <v>10362.61</v>
      </c>
    </row>
    <row r="96" spans="1:5" x14ac:dyDescent="0.45">
      <c r="A96" s="17">
        <v>45017</v>
      </c>
      <c r="B96" s="9" t="s">
        <v>9</v>
      </c>
      <c r="C96" s="9">
        <v>273</v>
      </c>
      <c r="D96" s="18">
        <v>30.52</v>
      </c>
      <c r="E96" s="19">
        <v>8330.86</v>
      </c>
    </row>
    <row r="97" spans="1:5" x14ac:dyDescent="0.45">
      <c r="A97" s="17">
        <v>45017</v>
      </c>
      <c r="B97" s="9" t="s">
        <v>10</v>
      </c>
      <c r="C97" s="9">
        <v>348</v>
      </c>
      <c r="D97" s="18">
        <v>10.27</v>
      </c>
      <c r="E97" s="19">
        <v>3572.32</v>
      </c>
    </row>
    <row r="98" spans="1:5" x14ac:dyDescent="0.45">
      <c r="A98" s="17">
        <v>45047</v>
      </c>
      <c r="B98" s="9" t="s">
        <v>5</v>
      </c>
      <c r="C98" s="9">
        <v>349</v>
      </c>
      <c r="D98" s="18">
        <v>491.47</v>
      </c>
      <c r="E98" s="19">
        <v>171522.52</v>
      </c>
    </row>
    <row r="99" spans="1:5" x14ac:dyDescent="0.45">
      <c r="A99" s="17">
        <v>45047</v>
      </c>
      <c r="B99" s="9" t="s">
        <v>6</v>
      </c>
      <c r="C99" s="9">
        <v>198</v>
      </c>
      <c r="D99" s="18">
        <v>165.69</v>
      </c>
      <c r="E99" s="19">
        <v>32807.15</v>
      </c>
    </row>
    <row r="100" spans="1:5" x14ac:dyDescent="0.45">
      <c r="A100" s="17">
        <v>45047</v>
      </c>
      <c r="B100" s="9" t="s">
        <v>8</v>
      </c>
      <c r="C100" s="9">
        <v>323</v>
      </c>
      <c r="D100" s="18">
        <v>30.62</v>
      </c>
      <c r="E100" s="19">
        <v>9891.18</v>
      </c>
    </row>
    <row r="101" spans="1:5" x14ac:dyDescent="0.45">
      <c r="A101" s="17">
        <v>45047</v>
      </c>
      <c r="B101" s="9" t="s">
        <v>9</v>
      </c>
      <c r="C101" s="9">
        <v>284</v>
      </c>
      <c r="D101" s="18">
        <v>33.26</v>
      </c>
      <c r="E101" s="19">
        <v>9444.5</v>
      </c>
    </row>
    <row r="102" spans="1:5" x14ac:dyDescent="0.45">
      <c r="A102" s="17">
        <v>45047</v>
      </c>
      <c r="B102" s="9" t="s">
        <v>7</v>
      </c>
      <c r="C102" s="9">
        <v>286</v>
      </c>
      <c r="D102" s="18">
        <v>32.18</v>
      </c>
      <c r="E102" s="19">
        <v>9204.27</v>
      </c>
    </row>
    <row r="103" spans="1:5" x14ac:dyDescent="0.45">
      <c r="A103" s="17">
        <v>45047</v>
      </c>
      <c r="B103" s="9" t="s">
        <v>10</v>
      </c>
      <c r="C103" s="9">
        <v>335</v>
      </c>
      <c r="D103" s="18">
        <v>10.15</v>
      </c>
      <c r="E103" s="19">
        <v>3401.76</v>
      </c>
    </row>
    <row r="104" spans="1:5" x14ac:dyDescent="0.45">
      <c r="A104" s="17">
        <v>45078</v>
      </c>
      <c r="B104" s="9" t="s">
        <v>5</v>
      </c>
      <c r="C104" s="9">
        <v>332</v>
      </c>
      <c r="D104" s="18">
        <v>516.63</v>
      </c>
      <c r="E104" s="19">
        <v>171521.99</v>
      </c>
    </row>
    <row r="105" spans="1:5" x14ac:dyDescent="0.45">
      <c r="A105" s="17">
        <v>45078</v>
      </c>
      <c r="B105" s="9" t="s">
        <v>6</v>
      </c>
      <c r="C105" s="9">
        <v>241</v>
      </c>
      <c r="D105" s="18">
        <v>172.17</v>
      </c>
      <c r="E105" s="19">
        <v>41491.910000000003</v>
      </c>
    </row>
    <row r="106" spans="1:5" x14ac:dyDescent="0.45">
      <c r="A106" s="17">
        <v>45078</v>
      </c>
      <c r="B106" s="9" t="s">
        <v>7</v>
      </c>
      <c r="C106" s="9">
        <v>301</v>
      </c>
      <c r="D106" s="18">
        <v>32.17</v>
      </c>
      <c r="E106" s="19">
        <v>9681.83</v>
      </c>
    </row>
    <row r="107" spans="1:5" x14ac:dyDescent="0.45">
      <c r="A107" s="17">
        <v>45078</v>
      </c>
      <c r="B107" s="9" t="s">
        <v>8</v>
      </c>
      <c r="C107" s="9">
        <v>300</v>
      </c>
      <c r="D107" s="18">
        <v>31.37</v>
      </c>
      <c r="E107" s="19">
        <v>9410.4500000000007</v>
      </c>
    </row>
    <row r="108" spans="1:5" x14ac:dyDescent="0.45">
      <c r="A108" s="17">
        <v>45078</v>
      </c>
      <c r="B108" s="9" t="s">
        <v>9</v>
      </c>
      <c r="C108" s="9">
        <v>257</v>
      </c>
      <c r="D108" s="18">
        <v>32.43</v>
      </c>
      <c r="E108" s="19">
        <v>8334.51</v>
      </c>
    </row>
    <row r="109" spans="1:5" x14ac:dyDescent="0.45">
      <c r="A109" s="17">
        <v>45078</v>
      </c>
      <c r="B109" s="9" t="s">
        <v>10</v>
      </c>
      <c r="C109" s="9">
        <v>322</v>
      </c>
      <c r="D109" s="18">
        <v>9.82</v>
      </c>
      <c r="E109" s="19">
        <v>3162.73</v>
      </c>
    </row>
    <row r="110" spans="1:5" x14ac:dyDescent="0.45">
      <c r="A110" s="17">
        <v>45108</v>
      </c>
      <c r="B110" s="9" t="s">
        <v>5</v>
      </c>
      <c r="C110" s="9">
        <v>338</v>
      </c>
      <c r="D110" s="18">
        <v>412.81</v>
      </c>
      <c r="E110" s="19">
        <v>139528.97</v>
      </c>
    </row>
    <row r="111" spans="1:5" x14ac:dyDescent="0.45">
      <c r="A111" s="17">
        <v>45108</v>
      </c>
      <c r="B111" s="9" t="s">
        <v>6</v>
      </c>
      <c r="C111" s="9">
        <v>277</v>
      </c>
      <c r="D111" s="18">
        <v>175.64</v>
      </c>
      <c r="E111" s="19">
        <v>48653.3</v>
      </c>
    </row>
    <row r="112" spans="1:5" x14ac:dyDescent="0.45">
      <c r="A112" s="17">
        <v>45108</v>
      </c>
      <c r="B112" s="9" t="s">
        <v>8</v>
      </c>
      <c r="C112" s="9">
        <v>314</v>
      </c>
      <c r="D112" s="18">
        <v>32.78</v>
      </c>
      <c r="E112" s="19">
        <v>10291.780000000001</v>
      </c>
    </row>
    <row r="113" spans="1:5" x14ac:dyDescent="0.45">
      <c r="A113" s="17">
        <v>45108</v>
      </c>
      <c r="B113" s="9" t="s">
        <v>7</v>
      </c>
      <c r="C113" s="9">
        <v>293</v>
      </c>
      <c r="D113" s="18">
        <v>31.28</v>
      </c>
      <c r="E113" s="19">
        <v>9166.11</v>
      </c>
    </row>
    <row r="114" spans="1:5" x14ac:dyDescent="0.45">
      <c r="A114" s="17">
        <v>45108</v>
      </c>
      <c r="B114" s="9" t="s">
        <v>9</v>
      </c>
      <c r="C114" s="9">
        <v>258</v>
      </c>
      <c r="D114" s="18">
        <v>29.94</v>
      </c>
      <c r="E114" s="19">
        <v>7724.3</v>
      </c>
    </row>
    <row r="115" spans="1:5" x14ac:dyDescent="0.45">
      <c r="A115" s="17">
        <v>45108</v>
      </c>
      <c r="B115" s="9" t="s">
        <v>10</v>
      </c>
      <c r="C115" s="9">
        <v>306</v>
      </c>
      <c r="D115" s="18">
        <v>10.79</v>
      </c>
      <c r="E115" s="19">
        <v>3300.39</v>
      </c>
    </row>
    <row r="116" spans="1:5" x14ac:dyDescent="0.45">
      <c r="A116" s="17">
        <v>45139</v>
      </c>
      <c r="B116" s="9" t="s">
        <v>5</v>
      </c>
      <c r="C116" s="9">
        <v>325</v>
      </c>
      <c r="D116" s="18">
        <v>462.04</v>
      </c>
      <c r="E116" s="19">
        <v>150163.45000000001</v>
      </c>
    </row>
    <row r="117" spans="1:5" x14ac:dyDescent="0.45">
      <c r="A117" s="17">
        <v>45139</v>
      </c>
      <c r="B117" s="9" t="s">
        <v>6</v>
      </c>
      <c r="C117" s="9">
        <v>283</v>
      </c>
      <c r="D117" s="18">
        <v>177.16</v>
      </c>
      <c r="E117" s="19">
        <v>50136.59</v>
      </c>
    </row>
    <row r="118" spans="1:5" x14ac:dyDescent="0.45">
      <c r="A118" s="17">
        <v>45139</v>
      </c>
      <c r="B118" s="9" t="s">
        <v>7</v>
      </c>
      <c r="C118" s="9">
        <v>333</v>
      </c>
      <c r="D118" s="18">
        <v>33.14</v>
      </c>
      <c r="E118" s="19">
        <v>11036.17</v>
      </c>
    </row>
    <row r="119" spans="1:5" x14ac:dyDescent="0.45">
      <c r="A119" s="17">
        <v>45139</v>
      </c>
      <c r="B119" s="9" t="s">
        <v>8</v>
      </c>
      <c r="C119" s="9">
        <v>299</v>
      </c>
      <c r="D119" s="18">
        <v>34.01</v>
      </c>
      <c r="E119" s="19">
        <v>10168.01</v>
      </c>
    </row>
    <row r="120" spans="1:5" x14ac:dyDescent="0.45">
      <c r="A120" s="17">
        <v>45139</v>
      </c>
      <c r="B120" s="9" t="s">
        <v>9</v>
      </c>
      <c r="C120" s="9">
        <v>273</v>
      </c>
      <c r="D120" s="18">
        <v>30.9</v>
      </c>
      <c r="E120" s="19">
        <v>8435.14</v>
      </c>
    </row>
    <row r="121" spans="1:5" x14ac:dyDescent="0.45">
      <c r="A121" s="17">
        <v>45139</v>
      </c>
      <c r="B121" s="9" t="s">
        <v>10</v>
      </c>
      <c r="C121" s="9">
        <v>324</v>
      </c>
      <c r="D121" s="18">
        <v>10.24</v>
      </c>
      <c r="E121" s="19">
        <v>3317.41</v>
      </c>
    </row>
    <row r="122" spans="1:5" x14ac:dyDescent="0.45">
      <c r="A122" s="17">
        <v>45170</v>
      </c>
      <c r="B122" s="9" t="s">
        <v>5</v>
      </c>
      <c r="C122" s="9">
        <v>335</v>
      </c>
      <c r="D122" s="18">
        <v>447.19</v>
      </c>
      <c r="E122" s="19">
        <v>149810.29</v>
      </c>
    </row>
    <row r="123" spans="1:5" x14ac:dyDescent="0.45">
      <c r="A123" s="17">
        <v>45170</v>
      </c>
      <c r="B123" s="9" t="s">
        <v>6</v>
      </c>
      <c r="C123" s="9">
        <v>283</v>
      </c>
      <c r="D123" s="18">
        <v>170.82</v>
      </c>
      <c r="E123" s="19">
        <v>48341.24</v>
      </c>
    </row>
    <row r="124" spans="1:5" x14ac:dyDescent="0.45">
      <c r="A124" s="17">
        <v>45170</v>
      </c>
      <c r="B124" s="9" t="s">
        <v>7</v>
      </c>
      <c r="C124" s="9">
        <v>299</v>
      </c>
      <c r="D124" s="18">
        <v>32.659999999999997</v>
      </c>
      <c r="E124" s="19">
        <v>9764.75</v>
      </c>
    </row>
    <row r="125" spans="1:5" x14ac:dyDescent="0.45">
      <c r="A125" s="17">
        <v>45170</v>
      </c>
      <c r="B125" s="9" t="s">
        <v>8</v>
      </c>
      <c r="C125" s="9">
        <v>279</v>
      </c>
      <c r="D125" s="18">
        <v>33.630000000000003</v>
      </c>
      <c r="E125" s="19">
        <v>9381.98</v>
      </c>
    </row>
    <row r="126" spans="1:5" x14ac:dyDescent="0.45">
      <c r="A126" s="17">
        <v>45170</v>
      </c>
      <c r="B126" s="9" t="s">
        <v>9</v>
      </c>
      <c r="C126" s="9">
        <v>229</v>
      </c>
      <c r="D126" s="18">
        <v>31.06</v>
      </c>
      <c r="E126" s="19">
        <v>7113.58</v>
      </c>
    </row>
    <row r="127" spans="1:5" x14ac:dyDescent="0.45">
      <c r="A127" s="17">
        <v>45170</v>
      </c>
      <c r="B127" s="9" t="s">
        <v>10</v>
      </c>
      <c r="C127" s="9">
        <v>304</v>
      </c>
      <c r="D127" s="18">
        <v>10.61</v>
      </c>
      <c r="E127" s="19">
        <v>3226.53</v>
      </c>
    </row>
    <row r="128" spans="1:5" x14ac:dyDescent="0.45">
      <c r="A128" s="17">
        <v>45200</v>
      </c>
      <c r="B128" s="9" t="s">
        <v>5</v>
      </c>
      <c r="C128" s="9">
        <v>363</v>
      </c>
      <c r="D128" s="18">
        <v>458.19</v>
      </c>
      <c r="E128" s="19">
        <v>166324.54999999999</v>
      </c>
    </row>
    <row r="129" spans="1:5" x14ac:dyDescent="0.45">
      <c r="A129" s="17">
        <v>45200</v>
      </c>
      <c r="B129" s="9" t="s">
        <v>6</v>
      </c>
      <c r="C129" s="9">
        <v>301</v>
      </c>
      <c r="D129" s="18">
        <v>172.87</v>
      </c>
      <c r="E129" s="19">
        <v>52032.93</v>
      </c>
    </row>
    <row r="130" spans="1:5" x14ac:dyDescent="0.45">
      <c r="A130" s="17">
        <v>45200</v>
      </c>
      <c r="B130" s="9" t="s">
        <v>8</v>
      </c>
      <c r="C130" s="9">
        <v>321</v>
      </c>
      <c r="D130" s="18">
        <v>30.68</v>
      </c>
      <c r="E130" s="19">
        <v>9848.89</v>
      </c>
    </row>
    <row r="131" spans="1:5" x14ac:dyDescent="0.45">
      <c r="A131" s="17">
        <v>45200</v>
      </c>
      <c r="B131" s="9" t="s">
        <v>7</v>
      </c>
      <c r="C131" s="9">
        <v>294</v>
      </c>
      <c r="D131" s="18">
        <v>29.4</v>
      </c>
      <c r="E131" s="19">
        <v>8642.9599999999991</v>
      </c>
    </row>
    <row r="132" spans="1:5" x14ac:dyDescent="0.45">
      <c r="A132" s="17">
        <v>45200</v>
      </c>
      <c r="B132" s="9" t="s">
        <v>9</v>
      </c>
      <c r="C132" s="9">
        <v>263</v>
      </c>
      <c r="D132" s="18">
        <v>29.71</v>
      </c>
      <c r="E132" s="19">
        <v>7814.44</v>
      </c>
    </row>
    <row r="133" spans="1:5" x14ac:dyDescent="0.45">
      <c r="A133" s="17">
        <v>45200</v>
      </c>
      <c r="B133" s="9" t="s">
        <v>10</v>
      </c>
      <c r="C133" s="9">
        <v>329</v>
      </c>
      <c r="D133" s="18">
        <v>10.43</v>
      </c>
      <c r="E133" s="19">
        <v>3431.46</v>
      </c>
    </row>
    <row r="134" spans="1:5" x14ac:dyDescent="0.45">
      <c r="A134" s="17">
        <v>45231</v>
      </c>
      <c r="B134" s="9" t="s">
        <v>5</v>
      </c>
      <c r="C134" s="9">
        <v>370</v>
      </c>
      <c r="D134" s="18">
        <v>441.75</v>
      </c>
      <c r="E134" s="19">
        <v>163445.65</v>
      </c>
    </row>
    <row r="135" spans="1:5" x14ac:dyDescent="0.45">
      <c r="A135" s="17">
        <v>45231</v>
      </c>
      <c r="B135" s="9" t="s">
        <v>6</v>
      </c>
      <c r="C135" s="9">
        <v>297</v>
      </c>
      <c r="D135" s="18">
        <v>168.43</v>
      </c>
      <c r="E135" s="19">
        <v>50024.84</v>
      </c>
    </row>
    <row r="136" spans="1:5" x14ac:dyDescent="0.45">
      <c r="A136" s="17">
        <v>45231</v>
      </c>
      <c r="B136" s="9" t="s">
        <v>8</v>
      </c>
      <c r="C136" s="9">
        <v>282</v>
      </c>
      <c r="D136" s="18">
        <v>32.72</v>
      </c>
      <c r="E136" s="19">
        <v>9226.7900000000009</v>
      </c>
    </row>
    <row r="137" spans="1:5" x14ac:dyDescent="0.45">
      <c r="A137" s="17">
        <v>45231</v>
      </c>
      <c r="B137" s="9" t="s">
        <v>7</v>
      </c>
      <c r="C137" s="9">
        <v>273</v>
      </c>
      <c r="D137" s="18">
        <v>31.86</v>
      </c>
      <c r="E137" s="19">
        <v>8697.2999999999993</v>
      </c>
    </row>
    <row r="138" spans="1:5" x14ac:dyDescent="0.45">
      <c r="A138" s="17">
        <v>45231</v>
      </c>
      <c r="B138" s="9" t="s">
        <v>9</v>
      </c>
      <c r="C138" s="9">
        <v>254</v>
      </c>
      <c r="D138" s="18">
        <v>29.18</v>
      </c>
      <c r="E138" s="19">
        <v>7411.64</v>
      </c>
    </row>
    <row r="139" spans="1:5" x14ac:dyDescent="0.45">
      <c r="A139" s="17">
        <v>45231</v>
      </c>
      <c r="B139" s="9" t="s">
        <v>10</v>
      </c>
      <c r="C139" s="9">
        <v>299</v>
      </c>
      <c r="D139" s="18">
        <v>10.75</v>
      </c>
      <c r="E139" s="19">
        <v>3213.72</v>
      </c>
    </row>
    <row r="140" spans="1:5" x14ac:dyDescent="0.45">
      <c r="A140" s="17">
        <v>45261</v>
      </c>
      <c r="B140" s="9" t="s">
        <v>5</v>
      </c>
      <c r="C140" s="9">
        <v>351</v>
      </c>
      <c r="D140" s="18">
        <v>437.07</v>
      </c>
      <c r="E140" s="19">
        <v>153411.75</v>
      </c>
    </row>
    <row r="141" spans="1:5" x14ac:dyDescent="0.45">
      <c r="A141" s="17">
        <v>45261</v>
      </c>
      <c r="B141" s="9" t="s">
        <v>6</v>
      </c>
      <c r="C141" s="9">
        <v>304</v>
      </c>
      <c r="D141" s="18">
        <v>167.96</v>
      </c>
      <c r="E141" s="19">
        <v>51058.58</v>
      </c>
    </row>
    <row r="142" spans="1:5" x14ac:dyDescent="0.45">
      <c r="A142" s="17">
        <v>45261</v>
      </c>
      <c r="B142" s="9" t="s">
        <v>9</v>
      </c>
      <c r="C142" s="9">
        <v>289</v>
      </c>
      <c r="D142" s="18">
        <v>33.200000000000003</v>
      </c>
      <c r="E142" s="19">
        <v>9594.31</v>
      </c>
    </row>
    <row r="143" spans="1:5" x14ac:dyDescent="0.45">
      <c r="A143" s="17">
        <v>45261</v>
      </c>
      <c r="B143" s="9" t="s">
        <v>8</v>
      </c>
      <c r="C143" s="9">
        <v>294</v>
      </c>
      <c r="D143" s="18">
        <v>31.86</v>
      </c>
      <c r="E143" s="19">
        <v>9365.56</v>
      </c>
    </row>
    <row r="144" spans="1:5" x14ac:dyDescent="0.45">
      <c r="A144" s="17">
        <v>45261</v>
      </c>
      <c r="B144" s="9" t="s">
        <v>7</v>
      </c>
      <c r="C144" s="9">
        <v>282</v>
      </c>
      <c r="D144" s="18">
        <v>32.28</v>
      </c>
      <c r="E144" s="19">
        <v>9102.1200000000008</v>
      </c>
    </row>
    <row r="145" spans="1:5" x14ac:dyDescent="0.45">
      <c r="A145" s="17">
        <v>45261</v>
      </c>
      <c r="B145" s="9" t="s">
        <v>10</v>
      </c>
      <c r="C145" s="9">
        <v>318</v>
      </c>
      <c r="D145" s="18">
        <v>11.02</v>
      </c>
      <c r="E145" s="19">
        <v>3504.99</v>
      </c>
    </row>
    <row r="146" spans="1:5" x14ac:dyDescent="0.45">
      <c r="A146" s="17">
        <v>45292</v>
      </c>
      <c r="B146" s="9" t="s">
        <v>5</v>
      </c>
      <c r="C146" s="9">
        <v>366</v>
      </c>
      <c r="D146" s="18">
        <v>460.43</v>
      </c>
      <c r="E146" s="19">
        <v>168516.05</v>
      </c>
    </row>
    <row r="147" spans="1:5" x14ac:dyDescent="0.45">
      <c r="A147" s="17">
        <v>45292</v>
      </c>
      <c r="B147" s="9" t="s">
        <v>6</v>
      </c>
      <c r="C147" s="9">
        <v>199</v>
      </c>
      <c r="D147" s="18">
        <v>172.04</v>
      </c>
      <c r="E147" s="19">
        <v>34235.69</v>
      </c>
    </row>
    <row r="148" spans="1:5" x14ac:dyDescent="0.45">
      <c r="A148" s="17">
        <v>45292</v>
      </c>
      <c r="B148" s="9" t="s">
        <v>8</v>
      </c>
      <c r="C148" s="9">
        <v>318</v>
      </c>
      <c r="D148" s="18">
        <v>31.69</v>
      </c>
      <c r="E148" s="19">
        <v>10077.790000000001</v>
      </c>
    </row>
    <row r="149" spans="1:5" x14ac:dyDescent="0.45">
      <c r="A149" s="17">
        <v>45292</v>
      </c>
      <c r="B149" s="9" t="s">
        <v>7</v>
      </c>
      <c r="C149" s="9">
        <v>316</v>
      </c>
      <c r="D149" s="18">
        <v>29.14</v>
      </c>
      <c r="E149" s="19">
        <v>9208.9699999999993</v>
      </c>
    </row>
    <row r="150" spans="1:5" x14ac:dyDescent="0.45">
      <c r="A150" s="17">
        <v>45292</v>
      </c>
      <c r="B150" s="9" t="s">
        <v>9</v>
      </c>
      <c r="C150" s="9">
        <v>287</v>
      </c>
      <c r="D150" s="18">
        <v>31.62</v>
      </c>
      <c r="E150" s="19">
        <v>9073.68</v>
      </c>
    </row>
    <row r="151" spans="1:5" x14ac:dyDescent="0.45">
      <c r="A151" s="17">
        <v>45292</v>
      </c>
      <c r="B151" s="9" t="s">
        <v>10</v>
      </c>
      <c r="C151" s="9">
        <v>338</v>
      </c>
      <c r="D151" s="18">
        <v>10.47</v>
      </c>
      <c r="E151" s="19">
        <v>3538.11</v>
      </c>
    </row>
    <row r="152" spans="1:5" x14ac:dyDescent="0.45">
      <c r="A152" s="17">
        <v>45323</v>
      </c>
      <c r="B152" s="9" t="s">
        <v>5</v>
      </c>
      <c r="C152" s="9">
        <v>299</v>
      </c>
      <c r="D152" s="18">
        <v>459.98</v>
      </c>
      <c r="E152" s="19">
        <v>137534.06</v>
      </c>
    </row>
    <row r="153" spans="1:5" x14ac:dyDescent="0.45">
      <c r="A153" s="17">
        <v>45323</v>
      </c>
      <c r="B153" s="9" t="s">
        <v>6</v>
      </c>
      <c r="C153" s="9">
        <v>189</v>
      </c>
      <c r="D153" s="18">
        <v>170.34</v>
      </c>
      <c r="E153" s="19">
        <v>32194.16</v>
      </c>
    </row>
    <row r="154" spans="1:5" x14ac:dyDescent="0.45">
      <c r="A154" s="17">
        <v>45323</v>
      </c>
      <c r="B154" s="9" t="s">
        <v>8</v>
      </c>
      <c r="C154" s="9">
        <v>297</v>
      </c>
      <c r="D154" s="18">
        <v>33.43</v>
      </c>
      <c r="E154" s="19">
        <v>9928.7000000000007</v>
      </c>
    </row>
    <row r="155" spans="1:5" x14ac:dyDescent="0.45">
      <c r="A155" s="17">
        <v>45323</v>
      </c>
      <c r="B155" s="9" t="s">
        <v>7</v>
      </c>
      <c r="C155" s="9">
        <v>313</v>
      </c>
      <c r="D155" s="18">
        <v>30.75</v>
      </c>
      <c r="E155" s="19">
        <v>9623.2900000000009</v>
      </c>
    </row>
    <row r="156" spans="1:5" x14ac:dyDescent="0.45">
      <c r="A156" s="17">
        <v>45323</v>
      </c>
      <c r="B156" s="9" t="s">
        <v>9</v>
      </c>
      <c r="C156" s="9">
        <v>248</v>
      </c>
      <c r="D156" s="18">
        <v>33.56</v>
      </c>
      <c r="E156" s="19">
        <v>8322.34</v>
      </c>
    </row>
    <row r="157" spans="1:5" x14ac:dyDescent="0.45">
      <c r="A157" s="17">
        <v>45323</v>
      </c>
      <c r="B157" s="9" t="s">
        <v>10</v>
      </c>
      <c r="C157" s="9">
        <v>325</v>
      </c>
      <c r="D157" s="18">
        <v>10.119999999999999</v>
      </c>
      <c r="E157" s="19">
        <v>3289.2</v>
      </c>
    </row>
    <row r="158" spans="1:5" x14ac:dyDescent="0.45">
      <c r="A158" s="17">
        <v>45352</v>
      </c>
      <c r="B158" s="9" t="s">
        <v>5</v>
      </c>
      <c r="C158" s="9">
        <v>393</v>
      </c>
      <c r="D158" s="18">
        <v>491.36</v>
      </c>
      <c r="E158" s="19">
        <v>193104.56</v>
      </c>
    </row>
    <row r="159" spans="1:5" x14ac:dyDescent="0.45">
      <c r="A159" s="17">
        <v>45352</v>
      </c>
      <c r="B159" s="9" t="s">
        <v>6</v>
      </c>
      <c r="C159" s="9">
        <v>215</v>
      </c>
      <c r="D159" s="18">
        <v>170.54</v>
      </c>
      <c r="E159" s="19">
        <v>36666.1</v>
      </c>
    </row>
    <row r="160" spans="1:5" x14ac:dyDescent="0.45">
      <c r="A160" s="17">
        <v>45352</v>
      </c>
      <c r="B160" s="9" t="s">
        <v>8</v>
      </c>
      <c r="C160" s="9">
        <v>339</v>
      </c>
      <c r="D160" s="18">
        <v>32.29</v>
      </c>
      <c r="E160" s="19">
        <v>10947.63</v>
      </c>
    </row>
    <row r="161" spans="1:5" x14ac:dyDescent="0.45">
      <c r="A161" s="17">
        <v>45352</v>
      </c>
      <c r="B161" s="9" t="s">
        <v>7</v>
      </c>
      <c r="C161" s="9">
        <v>337</v>
      </c>
      <c r="D161" s="18">
        <v>31.85</v>
      </c>
      <c r="E161" s="19">
        <v>10731.88</v>
      </c>
    </row>
    <row r="162" spans="1:5" x14ac:dyDescent="0.45">
      <c r="A162" s="17">
        <v>45352</v>
      </c>
      <c r="B162" s="9" t="s">
        <v>9</v>
      </c>
      <c r="C162" s="9">
        <v>281</v>
      </c>
      <c r="D162" s="18">
        <v>30.42</v>
      </c>
      <c r="E162" s="19">
        <v>8548.7000000000007</v>
      </c>
    </row>
    <row r="163" spans="1:5" x14ac:dyDescent="0.45">
      <c r="A163" s="17">
        <v>45352</v>
      </c>
      <c r="B163" s="9" t="s">
        <v>10</v>
      </c>
      <c r="C163" s="9">
        <v>358</v>
      </c>
      <c r="D163" s="18">
        <v>10.24</v>
      </c>
      <c r="E163" s="19">
        <v>3666.11</v>
      </c>
    </row>
    <row r="164" spans="1:5" x14ac:dyDescent="0.45">
      <c r="A164" s="17">
        <v>45383</v>
      </c>
      <c r="B164" s="9" t="s">
        <v>5</v>
      </c>
      <c r="C164" s="9">
        <v>337</v>
      </c>
      <c r="D164" s="18">
        <v>483.38</v>
      </c>
      <c r="E164" s="19">
        <v>162900.25</v>
      </c>
    </row>
    <row r="165" spans="1:5" x14ac:dyDescent="0.45">
      <c r="A165" s="17">
        <v>45383</v>
      </c>
      <c r="B165" s="9" t="s">
        <v>6</v>
      </c>
      <c r="C165" s="9">
        <v>195</v>
      </c>
      <c r="D165" s="18">
        <v>165.16</v>
      </c>
      <c r="E165" s="19">
        <v>32206.080000000002</v>
      </c>
    </row>
    <row r="166" spans="1:5" x14ac:dyDescent="0.45">
      <c r="A166" s="17">
        <v>45383</v>
      </c>
      <c r="B166" s="9" t="s">
        <v>8</v>
      </c>
      <c r="C166" s="9">
        <v>312</v>
      </c>
      <c r="D166" s="18">
        <v>30.4</v>
      </c>
      <c r="E166" s="19">
        <v>9484.92</v>
      </c>
    </row>
    <row r="167" spans="1:5" x14ac:dyDescent="0.45">
      <c r="A167" s="17">
        <v>45383</v>
      </c>
      <c r="B167" s="9" t="s">
        <v>9</v>
      </c>
      <c r="C167" s="9">
        <v>276</v>
      </c>
      <c r="D167" s="18">
        <v>33.43</v>
      </c>
      <c r="E167" s="19">
        <v>9226.66</v>
      </c>
    </row>
    <row r="168" spans="1:5" x14ac:dyDescent="0.45">
      <c r="A168" s="17">
        <v>45383</v>
      </c>
      <c r="B168" s="9" t="s">
        <v>7</v>
      </c>
      <c r="C168" s="9">
        <v>275</v>
      </c>
      <c r="D168" s="18">
        <v>32.130000000000003</v>
      </c>
      <c r="E168" s="19">
        <v>8835</v>
      </c>
    </row>
    <row r="169" spans="1:5" x14ac:dyDescent="0.45">
      <c r="A169" s="17">
        <v>45383</v>
      </c>
      <c r="B169" s="9" t="s">
        <v>10</v>
      </c>
      <c r="C169" s="9">
        <v>325</v>
      </c>
      <c r="D169" s="18">
        <v>10.18</v>
      </c>
      <c r="E169" s="19">
        <v>3307.97</v>
      </c>
    </row>
    <row r="170" spans="1:5" x14ac:dyDescent="0.45">
      <c r="A170" s="17">
        <v>45413</v>
      </c>
      <c r="B170" s="9" t="s">
        <v>5</v>
      </c>
      <c r="C170" s="9">
        <v>344</v>
      </c>
      <c r="D170" s="18">
        <v>506.75</v>
      </c>
      <c r="E170" s="19">
        <v>174321.82</v>
      </c>
    </row>
    <row r="171" spans="1:5" x14ac:dyDescent="0.45">
      <c r="A171" s="17">
        <v>45413</v>
      </c>
      <c r="B171" s="9" t="s">
        <v>6</v>
      </c>
      <c r="C171" s="9">
        <v>249</v>
      </c>
      <c r="D171" s="18">
        <v>172.36</v>
      </c>
      <c r="E171" s="19">
        <v>42917.54</v>
      </c>
    </row>
    <row r="172" spans="1:5" x14ac:dyDescent="0.45">
      <c r="A172" s="17">
        <v>45413</v>
      </c>
      <c r="B172" s="9" t="s">
        <v>7</v>
      </c>
      <c r="C172" s="9">
        <v>315</v>
      </c>
      <c r="D172" s="18">
        <v>31.71</v>
      </c>
      <c r="E172" s="19">
        <v>9987.36</v>
      </c>
    </row>
    <row r="173" spans="1:5" x14ac:dyDescent="0.45">
      <c r="A173" s="17">
        <v>45413</v>
      </c>
      <c r="B173" s="9" t="s">
        <v>8</v>
      </c>
      <c r="C173" s="9">
        <v>306</v>
      </c>
      <c r="D173" s="18">
        <v>31.38</v>
      </c>
      <c r="E173" s="19">
        <v>9602.75</v>
      </c>
    </row>
    <row r="174" spans="1:5" x14ac:dyDescent="0.45">
      <c r="A174" s="17">
        <v>45413</v>
      </c>
      <c r="B174" s="9" t="s">
        <v>9</v>
      </c>
      <c r="C174" s="9">
        <v>269</v>
      </c>
      <c r="D174" s="18">
        <v>32.42</v>
      </c>
      <c r="E174" s="19">
        <v>8719.85</v>
      </c>
    </row>
    <row r="175" spans="1:5" x14ac:dyDescent="0.45">
      <c r="A175" s="17">
        <v>45413</v>
      </c>
      <c r="B175" s="9" t="s">
        <v>10</v>
      </c>
      <c r="C175" s="9">
        <v>336</v>
      </c>
      <c r="D175" s="18">
        <v>9.98</v>
      </c>
      <c r="E175" s="19">
        <v>3352.16</v>
      </c>
    </row>
    <row r="176" spans="1:5" x14ac:dyDescent="0.45">
      <c r="A176" s="17">
        <v>45444</v>
      </c>
      <c r="B176" s="9" t="s">
        <v>5</v>
      </c>
      <c r="C176" s="9">
        <v>326</v>
      </c>
      <c r="D176" s="18">
        <v>419.41</v>
      </c>
      <c r="E176" s="19">
        <v>136729.14000000001</v>
      </c>
    </row>
    <row r="177" spans="1:5" x14ac:dyDescent="0.45">
      <c r="A177" s="17">
        <v>45444</v>
      </c>
      <c r="B177" s="9" t="s">
        <v>6</v>
      </c>
      <c r="C177" s="9">
        <v>269</v>
      </c>
      <c r="D177" s="18">
        <v>175.57</v>
      </c>
      <c r="E177" s="19">
        <v>47227.67</v>
      </c>
    </row>
    <row r="178" spans="1:5" x14ac:dyDescent="0.45">
      <c r="A178" s="17">
        <v>45444</v>
      </c>
      <c r="B178" s="9" t="s">
        <v>8</v>
      </c>
      <c r="C178" s="9">
        <v>308</v>
      </c>
      <c r="D178" s="18">
        <v>32.79</v>
      </c>
      <c r="E178" s="19">
        <v>10099.48</v>
      </c>
    </row>
    <row r="179" spans="1:5" x14ac:dyDescent="0.45">
      <c r="A179" s="17">
        <v>45444</v>
      </c>
      <c r="B179" s="9" t="s">
        <v>7</v>
      </c>
      <c r="C179" s="9">
        <v>279</v>
      </c>
      <c r="D179" s="18">
        <v>31.76</v>
      </c>
      <c r="E179" s="19">
        <v>8860.58</v>
      </c>
    </row>
    <row r="180" spans="1:5" x14ac:dyDescent="0.45">
      <c r="A180" s="17">
        <v>45444</v>
      </c>
      <c r="B180" s="9" t="s">
        <v>9</v>
      </c>
      <c r="C180" s="9">
        <v>246</v>
      </c>
      <c r="D180" s="18">
        <v>29.83</v>
      </c>
      <c r="E180" s="19">
        <v>7338.96</v>
      </c>
    </row>
    <row r="181" spans="1:5" x14ac:dyDescent="0.45">
      <c r="A181" s="17">
        <v>45444</v>
      </c>
      <c r="B181" s="9" t="s">
        <v>10</v>
      </c>
      <c r="C181" s="9">
        <v>292</v>
      </c>
      <c r="D181" s="18">
        <v>10.65</v>
      </c>
      <c r="E181" s="19">
        <v>3110.96</v>
      </c>
    </row>
    <row r="182" spans="1:5" x14ac:dyDescent="0.45">
      <c r="A182" s="17">
        <v>45474</v>
      </c>
      <c r="B182" s="9" t="s">
        <v>5</v>
      </c>
      <c r="C182" s="9">
        <v>325</v>
      </c>
      <c r="D182" s="18">
        <v>462.04</v>
      </c>
      <c r="E182" s="19">
        <v>150163.45000000001</v>
      </c>
    </row>
    <row r="183" spans="1:5" x14ac:dyDescent="0.45">
      <c r="A183" s="17">
        <v>45474</v>
      </c>
      <c r="B183" s="9" t="s">
        <v>6</v>
      </c>
      <c r="C183" s="9">
        <v>283</v>
      </c>
      <c r="D183" s="18">
        <v>177.16</v>
      </c>
      <c r="E183" s="19">
        <v>50136.59</v>
      </c>
    </row>
    <row r="184" spans="1:5" x14ac:dyDescent="0.45">
      <c r="A184" s="17">
        <v>45474</v>
      </c>
      <c r="B184" s="9" t="s">
        <v>7</v>
      </c>
      <c r="C184" s="9">
        <v>333</v>
      </c>
      <c r="D184" s="18">
        <v>33.14</v>
      </c>
      <c r="E184" s="19">
        <v>11036.17</v>
      </c>
    </row>
    <row r="185" spans="1:5" x14ac:dyDescent="0.45">
      <c r="A185" s="17">
        <v>45474</v>
      </c>
      <c r="B185" s="9" t="s">
        <v>8</v>
      </c>
      <c r="C185" s="9">
        <v>299</v>
      </c>
      <c r="D185" s="18">
        <v>34.01</v>
      </c>
      <c r="E185" s="19">
        <v>10168.01</v>
      </c>
    </row>
    <row r="186" spans="1:5" x14ac:dyDescent="0.45">
      <c r="A186" s="17">
        <v>45474</v>
      </c>
      <c r="B186" s="9" t="s">
        <v>9</v>
      </c>
      <c r="C186" s="9">
        <v>273</v>
      </c>
      <c r="D186" s="18">
        <v>30.9</v>
      </c>
      <c r="E186" s="19">
        <v>8435.14</v>
      </c>
    </row>
    <row r="187" spans="1:5" x14ac:dyDescent="0.45">
      <c r="A187" s="17">
        <v>45474</v>
      </c>
      <c r="B187" s="9" t="s">
        <v>10</v>
      </c>
      <c r="C187" s="9">
        <v>324</v>
      </c>
      <c r="D187" s="18">
        <v>10.24</v>
      </c>
      <c r="E187" s="19">
        <v>3317.41</v>
      </c>
    </row>
    <row r="188" spans="1:5" x14ac:dyDescent="0.45">
      <c r="A188" s="17">
        <v>45505</v>
      </c>
      <c r="B188" s="9" t="s">
        <v>5</v>
      </c>
      <c r="C188" s="9">
        <v>346</v>
      </c>
      <c r="D188" s="18">
        <v>447.8</v>
      </c>
      <c r="E188" s="19">
        <v>154938.41</v>
      </c>
    </row>
    <row r="189" spans="1:5" x14ac:dyDescent="0.45">
      <c r="A189" s="17">
        <v>45505</v>
      </c>
      <c r="B189" s="9" t="s">
        <v>6</v>
      </c>
      <c r="C189" s="9">
        <v>291</v>
      </c>
      <c r="D189" s="18">
        <v>170.32</v>
      </c>
      <c r="E189" s="19">
        <v>49563.51</v>
      </c>
    </row>
    <row r="190" spans="1:5" x14ac:dyDescent="0.45">
      <c r="A190" s="17">
        <v>45505</v>
      </c>
      <c r="B190" s="9" t="s">
        <v>7</v>
      </c>
      <c r="C190" s="9">
        <v>306</v>
      </c>
      <c r="D190" s="18">
        <v>32.4</v>
      </c>
      <c r="E190" s="19">
        <v>9914.4500000000007</v>
      </c>
    </row>
    <row r="191" spans="1:5" x14ac:dyDescent="0.45">
      <c r="A191" s="17">
        <v>45505</v>
      </c>
      <c r="B191" s="9" t="s">
        <v>8</v>
      </c>
      <c r="C191" s="9">
        <v>289</v>
      </c>
      <c r="D191" s="18">
        <v>33.11</v>
      </c>
      <c r="E191" s="19">
        <v>9569.34</v>
      </c>
    </row>
    <row r="192" spans="1:5" x14ac:dyDescent="0.45">
      <c r="A192" s="17">
        <v>45505</v>
      </c>
      <c r="B192" s="9" t="s">
        <v>9</v>
      </c>
      <c r="C192" s="9">
        <v>239</v>
      </c>
      <c r="D192" s="18">
        <v>31.38</v>
      </c>
      <c r="E192" s="19">
        <v>7500.61</v>
      </c>
    </row>
    <row r="193" spans="1:5" x14ac:dyDescent="0.45">
      <c r="A193" s="17">
        <v>45505</v>
      </c>
      <c r="B193" s="9" t="s">
        <v>10</v>
      </c>
      <c r="C193" s="9">
        <v>316</v>
      </c>
      <c r="D193" s="18">
        <v>10.69</v>
      </c>
      <c r="E193" s="19">
        <v>3377.45</v>
      </c>
    </row>
    <row r="194" spans="1:5" x14ac:dyDescent="0.45">
      <c r="A194" s="17">
        <v>45536</v>
      </c>
      <c r="B194" s="9" t="s">
        <v>5</v>
      </c>
      <c r="C194" s="9">
        <v>352</v>
      </c>
      <c r="D194" s="18">
        <v>457.94</v>
      </c>
      <c r="E194" s="19">
        <v>161196.43</v>
      </c>
    </row>
    <row r="195" spans="1:5" x14ac:dyDescent="0.45">
      <c r="A195" s="17">
        <v>45536</v>
      </c>
      <c r="B195" s="9" t="s">
        <v>6</v>
      </c>
      <c r="C195" s="9">
        <v>293</v>
      </c>
      <c r="D195" s="18">
        <v>173.42</v>
      </c>
      <c r="E195" s="19">
        <v>50810.66</v>
      </c>
    </row>
    <row r="196" spans="1:5" x14ac:dyDescent="0.45">
      <c r="A196" s="17">
        <v>45536</v>
      </c>
      <c r="B196" s="9" t="s">
        <v>8</v>
      </c>
      <c r="C196" s="9">
        <v>311</v>
      </c>
      <c r="D196" s="18">
        <v>31.07</v>
      </c>
      <c r="E196" s="19">
        <v>9661.5300000000007</v>
      </c>
    </row>
    <row r="197" spans="1:5" x14ac:dyDescent="0.45">
      <c r="A197" s="17">
        <v>45536</v>
      </c>
      <c r="B197" s="9" t="s">
        <v>7</v>
      </c>
      <c r="C197" s="9">
        <v>287</v>
      </c>
      <c r="D197" s="18">
        <v>29.59</v>
      </c>
      <c r="E197" s="19">
        <v>8493.26</v>
      </c>
    </row>
    <row r="198" spans="1:5" x14ac:dyDescent="0.45">
      <c r="A198" s="17">
        <v>45536</v>
      </c>
      <c r="B198" s="9" t="s">
        <v>9</v>
      </c>
      <c r="C198" s="9">
        <v>253</v>
      </c>
      <c r="D198" s="18">
        <v>29.36</v>
      </c>
      <c r="E198" s="19">
        <v>7427.41</v>
      </c>
    </row>
    <row r="199" spans="1:5" x14ac:dyDescent="0.45">
      <c r="A199" s="17">
        <v>45536</v>
      </c>
      <c r="B199" s="9" t="s">
        <v>10</v>
      </c>
      <c r="C199" s="9">
        <v>317</v>
      </c>
      <c r="D199" s="18">
        <v>10.35</v>
      </c>
      <c r="E199" s="19">
        <v>3280.54</v>
      </c>
    </row>
    <row r="200" spans="1:5" x14ac:dyDescent="0.45">
      <c r="A200" s="17">
        <v>45566</v>
      </c>
      <c r="B200" s="9" t="s">
        <v>5</v>
      </c>
      <c r="C200" s="9">
        <v>378</v>
      </c>
      <c r="D200" s="18">
        <v>438.29</v>
      </c>
      <c r="E200" s="19">
        <v>165675.23000000001</v>
      </c>
    </row>
    <row r="201" spans="1:5" x14ac:dyDescent="0.45">
      <c r="A201" s="20">
        <v>45566</v>
      </c>
      <c r="B201" s="21" t="s">
        <v>6</v>
      </c>
      <c r="C201" s="21">
        <v>310</v>
      </c>
      <c r="D201" s="22">
        <v>167.94</v>
      </c>
      <c r="E201" s="23">
        <v>52060.19</v>
      </c>
    </row>
  </sheetData>
  <pageMargins left="0.7" right="0.7" top="0.75" bottom="0.75" header="0.3" footer="0.3"/>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F83DD-F524-4332-83DA-83D4C60BDAAA}">
  <dimension ref="A1:F22"/>
  <sheetViews>
    <sheetView zoomScale="97" workbookViewId="0">
      <selection activeCell="C18" sqref="C18"/>
    </sheetView>
  </sheetViews>
  <sheetFormatPr defaultRowHeight="14.25" x14ac:dyDescent="0.45"/>
  <cols>
    <col min="1" max="1" width="17.46484375" bestFit="1" customWidth="1"/>
    <col min="2" max="2" width="18.46484375" bestFit="1" customWidth="1"/>
    <col min="3" max="3" width="21.6640625" bestFit="1" customWidth="1"/>
    <col min="4" max="4" width="17.86328125" bestFit="1" customWidth="1"/>
    <col min="5" max="5" width="23.73046875" bestFit="1" customWidth="1"/>
    <col min="6" max="6" width="12.06640625" bestFit="1" customWidth="1"/>
  </cols>
  <sheetData>
    <row r="1" spans="1:6" x14ac:dyDescent="0.45">
      <c r="A1" s="5" t="s">
        <v>17</v>
      </c>
      <c r="B1" s="16" t="s">
        <v>18</v>
      </c>
      <c r="C1" s="16" t="s">
        <v>19</v>
      </c>
      <c r="D1" s="16" t="s">
        <v>2</v>
      </c>
      <c r="E1" s="16" t="s">
        <v>3</v>
      </c>
      <c r="F1" s="6" t="s">
        <v>20</v>
      </c>
    </row>
    <row r="2" spans="1:6" x14ac:dyDescent="0.45">
      <c r="A2" s="24">
        <v>736</v>
      </c>
      <c r="B2" s="9" t="s">
        <v>21</v>
      </c>
      <c r="C2" s="18">
        <v>8708119</v>
      </c>
      <c r="D2" s="9">
        <v>69530</v>
      </c>
      <c r="E2" s="18">
        <v>125.24</v>
      </c>
      <c r="F2" s="25">
        <v>1</v>
      </c>
    </row>
    <row r="3" spans="1:6" x14ac:dyDescent="0.45">
      <c r="A3" s="24">
        <v>734</v>
      </c>
      <c r="B3" s="9" t="s">
        <v>22</v>
      </c>
      <c r="C3" s="18">
        <v>584675.92000000004</v>
      </c>
      <c r="D3" s="9">
        <v>4363</v>
      </c>
      <c r="E3" s="18">
        <v>134.01</v>
      </c>
      <c r="F3" s="25">
        <v>2</v>
      </c>
    </row>
    <row r="4" spans="1:6" x14ac:dyDescent="0.45">
      <c r="A4" s="24">
        <v>737</v>
      </c>
      <c r="B4" s="9" t="s">
        <v>23</v>
      </c>
      <c r="C4" s="18">
        <v>320441.24</v>
      </c>
      <c r="D4" s="9">
        <v>2192</v>
      </c>
      <c r="E4" s="18">
        <v>146.19</v>
      </c>
      <c r="F4" s="25">
        <v>3</v>
      </c>
    </row>
    <row r="5" spans="1:6" x14ac:dyDescent="0.45">
      <c r="A5" s="24">
        <v>735</v>
      </c>
      <c r="B5" s="9" t="s">
        <v>24</v>
      </c>
      <c r="C5" s="18">
        <v>319394.58</v>
      </c>
      <c r="D5" s="9">
        <v>2181</v>
      </c>
      <c r="E5" s="18">
        <v>146.44</v>
      </c>
      <c r="F5" s="25">
        <v>4</v>
      </c>
    </row>
    <row r="6" spans="1:6" x14ac:dyDescent="0.45">
      <c r="A6" s="24">
        <v>739</v>
      </c>
      <c r="B6" s="9" t="s">
        <v>25</v>
      </c>
      <c r="C6" s="18">
        <v>318511.03999999998</v>
      </c>
      <c r="D6" s="9">
        <v>2341</v>
      </c>
      <c r="E6" s="18">
        <v>136.06</v>
      </c>
      <c r="F6" s="25">
        <v>5</v>
      </c>
    </row>
    <row r="7" spans="1:6" x14ac:dyDescent="0.45">
      <c r="A7" s="24">
        <v>733</v>
      </c>
      <c r="B7" s="9" t="s">
        <v>26</v>
      </c>
      <c r="C7" s="18">
        <v>310099.90000000002</v>
      </c>
      <c r="D7" s="9">
        <v>2222</v>
      </c>
      <c r="E7" s="18">
        <v>139.56</v>
      </c>
      <c r="F7" s="25">
        <v>6</v>
      </c>
    </row>
    <row r="8" spans="1:6" x14ac:dyDescent="0.45">
      <c r="A8" s="24">
        <v>732</v>
      </c>
      <c r="B8" s="9" t="s">
        <v>27</v>
      </c>
      <c r="C8" s="18">
        <v>303433.61</v>
      </c>
      <c r="D8" s="9">
        <v>2228</v>
      </c>
      <c r="E8" s="18">
        <v>136.19</v>
      </c>
      <c r="F8" s="25">
        <v>7</v>
      </c>
    </row>
    <row r="9" spans="1:6" x14ac:dyDescent="0.45">
      <c r="A9" s="24">
        <v>738</v>
      </c>
      <c r="B9" s="9" t="s">
        <v>28</v>
      </c>
      <c r="C9" s="18">
        <v>298074.49</v>
      </c>
      <c r="D9" s="9">
        <v>2202</v>
      </c>
      <c r="E9" s="18">
        <v>135.37</v>
      </c>
      <c r="F9" s="25">
        <v>8</v>
      </c>
    </row>
    <row r="10" spans="1:6" x14ac:dyDescent="0.45">
      <c r="A10" s="11">
        <v>731</v>
      </c>
      <c r="B10" s="21" t="s">
        <v>29</v>
      </c>
      <c r="C10" s="22">
        <v>288865.31</v>
      </c>
      <c r="D10" s="21">
        <v>2207</v>
      </c>
      <c r="E10" s="22">
        <v>130.88999999999999</v>
      </c>
      <c r="F10" s="10">
        <v>9</v>
      </c>
    </row>
    <row r="12" spans="1:6" x14ac:dyDescent="0.45">
      <c r="A12" s="2" t="s">
        <v>61</v>
      </c>
      <c r="B12" t="s">
        <v>58</v>
      </c>
      <c r="C12" t="s">
        <v>13</v>
      </c>
    </row>
    <row r="13" spans="1:6" x14ac:dyDescent="0.45">
      <c r="A13" s="3" t="s">
        <v>21</v>
      </c>
      <c r="B13" s="4">
        <v>8708119</v>
      </c>
      <c r="C13">
        <v>69530</v>
      </c>
    </row>
    <row r="14" spans="1:6" x14ac:dyDescent="0.45">
      <c r="A14" s="3" t="s">
        <v>22</v>
      </c>
      <c r="B14" s="4">
        <v>584675.92000000004</v>
      </c>
      <c r="C14">
        <v>4363</v>
      </c>
    </row>
    <row r="15" spans="1:6" x14ac:dyDescent="0.45">
      <c r="A15" s="3" t="s">
        <v>23</v>
      </c>
      <c r="B15" s="4">
        <v>320441.24</v>
      </c>
      <c r="C15">
        <v>2192</v>
      </c>
    </row>
    <row r="16" spans="1:6" x14ac:dyDescent="0.45">
      <c r="A16" s="3" t="s">
        <v>24</v>
      </c>
      <c r="B16" s="4">
        <v>319394.58</v>
      </c>
      <c r="C16">
        <v>2181</v>
      </c>
    </row>
    <row r="17" spans="1:3" x14ac:dyDescent="0.45">
      <c r="A17" s="3" t="s">
        <v>25</v>
      </c>
      <c r="B17" s="4">
        <v>318511.03999999998</v>
      </c>
      <c r="C17">
        <v>2341</v>
      </c>
    </row>
    <row r="18" spans="1:3" x14ac:dyDescent="0.45">
      <c r="A18" s="3" t="s">
        <v>26</v>
      </c>
      <c r="B18" s="4">
        <v>310099.90000000002</v>
      </c>
      <c r="C18">
        <v>2222</v>
      </c>
    </row>
    <row r="19" spans="1:3" x14ac:dyDescent="0.45">
      <c r="A19" s="3" t="s">
        <v>27</v>
      </c>
      <c r="B19" s="4">
        <v>303433.61</v>
      </c>
      <c r="C19">
        <v>2228</v>
      </c>
    </row>
    <row r="20" spans="1:3" x14ac:dyDescent="0.45">
      <c r="A20" s="3" t="s">
        <v>28</v>
      </c>
      <c r="B20" s="4">
        <v>298074.49</v>
      </c>
      <c r="C20">
        <v>2202</v>
      </c>
    </row>
    <row r="21" spans="1:3" x14ac:dyDescent="0.45">
      <c r="A21" s="3" t="s">
        <v>29</v>
      </c>
      <c r="B21" s="4">
        <v>288865.31</v>
      </c>
      <c r="C21">
        <v>2207</v>
      </c>
    </row>
    <row r="22" spans="1:3" x14ac:dyDescent="0.45">
      <c r="A22" s="3" t="s">
        <v>11</v>
      </c>
      <c r="B22" s="4">
        <v>11451615.09</v>
      </c>
      <c r="C22">
        <v>89466</v>
      </c>
    </row>
  </sheetData>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B6D9B-839E-43F3-9733-2A8CC2EA5496}">
  <dimension ref="A1:E24"/>
  <sheetViews>
    <sheetView zoomScaleNormal="100" workbookViewId="0">
      <pane ySplit="1" topLeftCell="A10" activePane="bottomLeft" state="frozen"/>
      <selection pane="bottomLeft" activeCell="G6" sqref="G6"/>
    </sheetView>
  </sheetViews>
  <sheetFormatPr defaultRowHeight="14.25" x14ac:dyDescent="0.45"/>
  <cols>
    <col min="1" max="1" width="13.59765625" bestFit="1" customWidth="1"/>
    <col min="2" max="2" width="31.6640625" customWidth="1"/>
    <col min="3" max="3" width="30.1328125" customWidth="1"/>
    <col min="4" max="4" width="14.6640625" bestFit="1" customWidth="1"/>
    <col min="5" max="5" width="17.86328125" bestFit="1" customWidth="1"/>
  </cols>
  <sheetData>
    <row r="1" spans="1:5" x14ac:dyDescent="0.45">
      <c r="A1" s="5" t="s">
        <v>30</v>
      </c>
      <c r="B1" s="16" t="s">
        <v>31</v>
      </c>
      <c r="C1" s="16" t="s">
        <v>1</v>
      </c>
      <c r="D1" s="16" t="s">
        <v>19</v>
      </c>
      <c r="E1" s="6" t="s">
        <v>2</v>
      </c>
    </row>
    <row r="2" spans="1:5" x14ac:dyDescent="0.45">
      <c r="A2" s="24" t="s">
        <v>32</v>
      </c>
      <c r="B2" s="9" t="s">
        <v>33</v>
      </c>
      <c r="C2" s="9" t="s">
        <v>5</v>
      </c>
      <c r="D2" s="18">
        <v>306883.8</v>
      </c>
      <c r="E2" s="25">
        <v>174</v>
      </c>
    </row>
    <row r="3" spans="1:5" x14ac:dyDescent="0.45">
      <c r="A3" s="24" t="s">
        <v>34</v>
      </c>
      <c r="B3" s="9" t="s">
        <v>35</v>
      </c>
      <c r="C3" s="9" t="s">
        <v>5</v>
      </c>
      <c r="D3" s="18">
        <v>261090.4</v>
      </c>
      <c r="E3" s="25">
        <v>152</v>
      </c>
    </row>
    <row r="4" spans="1:5" x14ac:dyDescent="0.45">
      <c r="A4" s="24" t="s">
        <v>36</v>
      </c>
      <c r="B4" s="9" t="s">
        <v>37</v>
      </c>
      <c r="C4" s="9" t="s">
        <v>5</v>
      </c>
      <c r="D4" s="18">
        <v>257655</v>
      </c>
      <c r="E4" s="25">
        <v>150</v>
      </c>
    </row>
    <row r="5" spans="1:5" x14ac:dyDescent="0.45">
      <c r="A5" s="24" t="s">
        <v>38</v>
      </c>
      <c r="B5" s="9" t="s">
        <v>39</v>
      </c>
      <c r="C5" s="9" t="s">
        <v>5</v>
      </c>
      <c r="D5" s="18">
        <v>251094.2</v>
      </c>
      <c r="E5" s="25">
        <v>194</v>
      </c>
    </row>
    <row r="6" spans="1:5" x14ac:dyDescent="0.45">
      <c r="A6" s="24" t="s">
        <v>40</v>
      </c>
      <c r="B6" s="9" t="s">
        <v>41</v>
      </c>
      <c r="C6" s="9" t="s">
        <v>5</v>
      </c>
      <c r="D6" s="18">
        <v>228489.04</v>
      </c>
      <c r="E6" s="25">
        <v>166</v>
      </c>
    </row>
    <row r="7" spans="1:5" x14ac:dyDescent="0.45">
      <c r="A7" s="24" t="s">
        <v>42</v>
      </c>
      <c r="B7" s="9" t="s">
        <v>43</v>
      </c>
      <c r="C7" s="9" t="s">
        <v>5</v>
      </c>
      <c r="D7" s="18">
        <v>219375.68</v>
      </c>
      <c r="E7" s="25">
        <v>172</v>
      </c>
    </row>
    <row r="8" spans="1:5" x14ac:dyDescent="0.45">
      <c r="A8" s="24" t="s">
        <v>44</v>
      </c>
      <c r="B8" s="9" t="s">
        <v>45</v>
      </c>
      <c r="C8" s="9" t="s">
        <v>5</v>
      </c>
      <c r="D8" s="18">
        <v>218738.88</v>
      </c>
      <c r="E8" s="25">
        <v>174</v>
      </c>
    </row>
    <row r="9" spans="1:5" x14ac:dyDescent="0.45">
      <c r="A9" s="24" t="s">
        <v>46</v>
      </c>
      <c r="B9" s="9" t="s">
        <v>47</v>
      </c>
      <c r="C9" s="9" t="s">
        <v>5</v>
      </c>
      <c r="D9" s="18">
        <v>217056</v>
      </c>
      <c r="E9" s="25">
        <v>168</v>
      </c>
    </row>
    <row r="10" spans="1:5" x14ac:dyDescent="0.45">
      <c r="A10" s="24" t="s">
        <v>48</v>
      </c>
      <c r="B10" s="9" t="s">
        <v>49</v>
      </c>
      <c r="C10" s="9" t="s">
        <v>5</v>
      </c>
      <c r="D10" s="18">
        <v>212663.2</v>
      </c>
      <c r="E10" s="25">
        <v>170</v>
      </c>
    </row>
    <row r="11" spans="1:5" x14ac:dyDescent="0.45">
      <c r="A11" s="11" t="s">
        <v>50</v>
      </c>
      <c r="B11" s="21" t="s">
        <v>51</v>
      </c>
      <c r="C11" s="21" t="s">
        <v>5</v>
      </c>
      <c r="D11" s="22">
        <v>205561.2</v>
      </c>
      <c r="E11" s="10">
        <v>156</v>
      </c>
    </row>
    <row r="13" spans="1:5" x14ac:dyDescent="0.45">
      <c r="A13" s="2" t="s">
        <v>68</v>
      </c>
      <c r="B13" t="s">
        <v>69</v>
      </c>
      <c r="C13" t="s">
        <v>70</v>
      </c>
    </row>
    <row r="14" spans="1:5" x14ac:dyDescent="0.45">
      <c r="A14" s="3" t="s">
        <v>33</v>
      </c>
      <c r="B14" s="28">
        <v>306883.8</v>
      </c>
      <c r="C14">
        <v>174</v>
      </c>
    </row>
    <row r="15" spans="1:5" x14ac:dyDescent="0.45">
      <c r="A15" s="3" t="s">
        <v>62</v>
      </c>
      <c r="B15" s="28">
        <v>261090.4</v>
      </c>
      <c r="C15">
        <v>152</v>
      </c>
    </row>
    <row r="16" spans="1:5" x14ac:dyDescent="0.45">
      <c r="A16" s="3" t="s">
        <v>63</v>
      </c>
      <c r="B16" s="28">
        <v>257655</v>
      </c>
      <c r="C16">
        <v>150</v>
      </c>
    </row>
    <row r="17" spans="1:3" x14ac:dyDescent="0.45">
      <c r="A17" s="3" t="s">
        <v>64</v>
      </c>
      <c r="B17" s="28">
        <v>251094.2</v>
      </c>
      <c r="C17">
        <v>194</v>
      </c>
    </row>
    <row r="18" spans="1:3" x14ac:dyDescent="0.45">
      <c r="A18" s="3" t="s">
        <v>41</v>
      </c>
      <c r="B18" s="28">
        <v>228489.04</v>
      </c>
      <c r="C18">
        <v>166</v>
      </c>
    </row>
    <row r="19" spans="1:3" x14ac:dyDescent="0.45">
      <c r="A19" s="3" t="s">
        <v>65</v>
      </c>
      <c r="B19" s="28">
        <v>219375.68</v>
      </c>
      <c r="C19">
        <v>172</v>
      </c>
    </row>
    <row r="20" spans="1:3" x14ac:dyDescent="0.45">
      <c r="A20" s="3" t="s">
        <v>66</v>
      </c>
      <c r="B20" s="28">
        <v>218738.88</v>
      </c>
      <c r="C20">
        <v>174</v>
      </c>
    </row>
    <row r="21" spans="1:3" x14ac:dyDescent="0.45">
      <c r="A21" s="3" t="s">
        <v>67</v>
      </c>
      <c r="B21" s="28">
        <v>217056</v>
      </c>
      <c r="C21">
        <v>168</v>
      </c>
    </row>
    <row r="22" spans="1:3" x14ac:dyDescent="0.45">
      <c r="A22" s="3" t="s">
        <v>49</v>
      </c>
      <c r="B22" s="28">
        <v>212663.2</v>
      </c>
      <c r="C22">
        <v>170</v>
      </c>
    </row>
    <row r="23" spans="1:3" x14ac:dyDescent="0.45">
      <c r="A23" s="3" t="s">
        <v>51</v>
      </c>
      <c r="B23" s="28">
        <v>205561.2</v>
      </c>
      <c r="C23">
        <v>156</v>
      </c>
    </row>
    <row r="24" spans="1:3" x14ac:dyDescent="0.45">
      <c r="A24" s="3" t="s">
        <v>11</v>
      </c>
      <c r="B24" s="28">
        <v>2378607.4</v>
      </c>
      <c r="C24">
        <v>1676</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188C2-7A45-4A5E-A3F6-4998852103DD}">
  <dimension ref="A1:N25"/>
  <sheetViews>
    <sheetView workbookViewId="0">
      <pane ySplit="1" topLeftCell="A2" activePane="bottomLeft" state="frozen"/>
      <selection pane="bottomLeft" activeCell="G3" sqref="G3"/>
    </sheetView>
  </sheetViews>
  <sheetFormatPr defaultRowHeight="14.25" x14ac:dyDescent="0.45"/>
  <cols>
    <col min="1" max="1" width="6.53125" bestFit="1" customWidth="1"/>
    <col min="2" max="2" width="21" bestFit="1" customWidth="1"/>
    <col min="3" max="3" width="16.33203125" bestFit="1" customWidth="1"/>
    <col min="4" max="4" width="22.19921875" bestFit="1" customWidth="1"/>
    <col min="5" max="5" width="16.796875" bestFit="1" customWidth="1"/>
    <col min="7" max="7" width="17.265625" bestFit="1" customWidth="1"/>
    <col min="8" max="8" width="22.265625" bestFit="1" customWidth="1"/>
    <col min="9" max="9" width="12.33203125" bestFit="1" customWidth="1"/>
    <col min="10" max="10" width="21" bestFit="1" customWidth="1"/>
    <col min="11" max="11" width="13.59765625" bestFit="1" customWidth="1"/>
    <col min="12" max="12" width="10.796875" bestFit="1" customWidth="1"/>
    <col min="13" max="13" width="19.59765625" bestFit="1" customWidth="1"/>
    <col min="14" max="14" width="13.3984375" bestFit="1" customWidth="1"/>
  </cols>
  <sheetData>
    <row r="1" spans="1:14" x14ac:dyDescent="0.45">
      <c r="A1" s="5" t="s">
        <v>52</v>
      </c>
      <c r="B1" s="16" t="s">
        <v>1</v>
      </c>
      <c r="C1" s="16" t="s">
        <v>53</v>
      </c>
      <c r="D1" s="16" t="s">
        <v>54</v>
      </c>
      <c r="E1" s="6" t="s">
        <v>55</v>
      </c>
    </row>
    <row r="2" spans="1:14" x14ac:dyDescent="0.45">
      <c r="A2" s="24">
        <v>2022</v>
      </c>
      <c r="B2" s="9" t="s">
        <v>8</v>
      </c>
      <c r="C2" s="18">
        <v>91261.84</v>
      </c>
      <c r="D2" s="18"/>
      <c r="E2" s="26"/>
      <c r="G2" s="2" t="s">
        <v>60</v>
      </c>
      <c r="H2" s="2" t="s">
        <v>59</v>
      </c>
    </row>
    <row r="3" spans="1:14" x14ac:dyDescent="0.45">
      <c r="A3" s="24">
        <v>2023</v>
      </c>
      <c r="B3" s="9" t="s">
        <v>8</v>
      </c>
      <c r="C3" s="18">
        <v>120010.22</v>
      </c>
      <c r="D3" s="18">
        <v>91261.84</v>
      </c>
      <c r="E3" s="26">
        <v>28748.38</v>
      </c>
      <c r="G3" s="2" t="s">
        <v>52</v>
      </c>
      <c r="H3" t="s">
        <v>5</v>
      </c>
      <c r="I3" t="s">
        <v>6</v>
      </c>
      <c r="J3" t="s">
        <v>8</v>
      </c>
      <c r="K3" t="s">
        <v>7</v>
      </c>
      <c r="L3" t="s">
        <v>9</v>
      </c>
      <c r="M3" t="s">
        <v>10</v>
      </c>
      <c r="N3" t="s">
        <v>11</v>
      </c>
    </row>
    <row r="4" spans="1:14" x14ac:dyDescent="0.45">
      <c r="A4" s="24">
        <v>2024</v>
      </c>
      <c r="B4" s="9" t="s">
        <v>8</v>
      </c>
      <c r="C4" s="18">
        <v>120129.54</v>
      </c>
      <c r="D4" s="18">
        <v>120010.22</v>
      </c>
      <c r="E4" s="26">
        <v>119.32</v>
      </c>
      <c r="G4" s="3">
        <v>2022</v>
      </c>
      <c r="H4" s="4">
        <v>1511977.6</v>
      </c>
      <c r="I4" s="4">
        <v>587975.24</v>
      </c>
      <c r="J4" s="4">
        <v>91261.84</v>
      </c>
      <c r="K4" s="4">
        <v>102417.62</v>
      </c>
      <c r="L4" s="4">
        <v>84065.95</v>
      </c>
      <c r="M4" s="4">
        <v>32269.45</v>
      </c>
      <c r="N4" s="4">
        <v>2409967.7000000002</v>
      </c>
    </row>
    <row r="5" spans="1:14" x14ac:dyDescent="0.45">
      <c r="A5" s="24">
        <v>2025</v>
      </c>
      <c r="B5" s="9" t="s">
        <v>8</v>
      </c>
      <c r="C5" s="18">
        <v>169185.87</v>
      </c>
      <c r="D5" s="18">
        <v>120129.54</v>
      </c>
      <c r="E5" s="26">
        <v>49056.33</v>
      </c>
      <c r="G5" s="3">
        <v>2023</v>
      </c>
      <c r="H5" s="4">
        <v>1927244.53</v>
      </c>
      <c r="I5" s="4">
        <v>509847.59</v>
      </c>
      <c r="J5" s="4">
        <v>120010.22</v>
      </c>
      <c r="K5" s="4">
        <v>116112.7</v>
      </c>
      <c r="L5" s="4">
        <v>100179.64</v>
      </c>
      <c r="M5" s="4">
        <v>40298.519999999997</v>
      </c>
      <c r="N5" s="4">
        <v>2813693.1999999997</v>
      </c>
    </row>
    <row r="6" spans="1:14" x14ac:dyDescent="0.45">
      <c r="A6" s="24">
        <v>2022</v>
      </c>
      <c r="B6" s="9" t="s">
        <v>9</v>
      </c>
      <c r="C6" s="18">
        <v>84065.95</v>
      </c>
      <c r="D6" s="18"/>
      <c r="E6" s="26"/>
      <c r="G6" s="3">
        <v>2024</v>
      </c>
      <c r="H6" s="4">
        <v>1932871.91</v>
      </c>
      <c r="I6" s="4">
        <v>511338.87</v>
      </c>
      <c r="J6" s="4">
        <v>120129.54</v>
      </c>
      <c r="K6" s="4">
        <v>116405.21</v>
      </c>
      <c r="L6" s="4">
        <v>100529.07</v>
      </c>
      <c r="M6" s="4">
        <v>40416.99</v>
      </c>
      <c r="N6" s="4">
        <v>2821691.59</v>
      </c>
    </row>
    <row r="7" spans="1:14" x14ac:dyDescent="0.45">
      <c r="A7" s="24">
        <v>2023</v>
      </c>
      <c r="B7" s="9" t="s">
        <v>9</v>
      </c>
      <c r="C7" s="18">
        <v>100179.64</v>
      </c>
      <c r="D7" s="18">
        <v>84065.95</v>
      </c>
      <c r="E7" s="26">
        <v>16113.69</v>
      </c>
      <c r="G7" s="3">
        <v>2025</v>
      </c>
      <c r="H7" s="4">
        <v>2454843.7999999998</v>
      </c>
      <c r="I7" s="4">
        <v>412016.17</v>
      </c>
      <c r="J7" s="4">
        <v>169185.87</v>
      </c>
      <c r="K7" s="4">
        <v>159910.23000000001</v>
      </c>
      <c r="L7" s="4">
        <v>149222.01</v>
      </c>
      <c r="M7" s="4">
        <v>61084.52</v>
      </c>
      <c r="N7" s="4">
        <v>3406262.5999999996</v>
      </c>
    </row>
    <row r="8" spans="1:14" x14ac:dyDescent="0.45">
      <c r="A8" s="24">
        <v>2024</v>
      </c>
      <c r="B8" s="9" t="s">
        <v>9</v>
      </c>
      <c r="C8" s="18">
        <v>100529.07</v>
      </c>
      <c r="D8" s="18">
        <v>100179.64</v>
      </c>
      <c r="E8" s="26">
        <v>349.43</v>
      </c>
      <c r="G8" s="3" t="s">
        <v>11</v>
      </c>
      <c r="H8" s="4">
        <v>7826937.8399999999</v>
      </c>
      <c r="I8" s="4">
        <v>2021177.87</v>
      </c>
      <c r="J8" s="4">
        <v>500587.47</v>
      </c>
      <c r="K8" s="4">
        <v>494845.76</v>
      </c>
      <c r="L8" s="4">
        <v>433996.67000000004</v>
      </c>
      <c r="M8" s="4">
        <v>174069.47999999998</v>
      </c>
      <c r="N8" s="4">
        <v>11451615.09</v>
      </c>
    </row>
    <row r="9" spans="1:14" x14ac:dyDescent="0.45">
      <c r="A9" s="24">
        <v>2025</v>
      </c>
      <c r="B9" s="9" t="s">
        <v>9</v>
      </c>
      <c r="C9" s="18">
        <v>149222.01</v>
      </c>
      <c r="D9" s="18">
        <v>100529.07</v>
      </c>
      <c r="E9" s="26">
        <v>48692.94</v>
      </c>
    </row>
    <row r="10" spans="1:14" x14ac:dyDescent="0.45">
      <c r="A10" s="24">
        <v>2022</v>
      </c>
      <c r="B10" s="9" t="s">
        <v>7</v>
      </c>
      <c r="C10" s="18">
        <v>102417.62</v>
      </c>
      <c r="D10" s="18"/>
      <c r="E10" s="26"/>
    </row>
    <row r="11" spans="1:14" x14ac:dyDescent="0.45">
      <c r="A11" s="24">
        <v>2023</v>
      </c>
      <c r="B11" s="9" t="s">
        <v>7</v>
      </c>
      <c r="C11" s="18">
        <v>116112.7</v>
      </c>
      <c r="D11" s="18">
        <v>102417.62</v>
      </c>
      <c r="E11" s="26">
        <v>13695.08</v>
      </c>
    </row>
    <row r="12" spans="1:14" x14ac:dyDescent="0.45">
      <c r="A12" s="24">
        <v>2024</v>
      </c>
      <c r="B12" s="9" t="s">
        <v>7</v>
      </c>
      <c r="C12" s="18">
        <v>116405.21</v>
      </c>
      <c r="D12" s="18">
        <v>116112.7</v>
      </c>
      <c r="E12" s="26">
        <v>292.51</v>
      </c>
    </row>
    <row r="13" spans="1:14" x14ac:dyDescent="0.45">
      <c r="A13" s="24">
        <v>2025</v>
      </c>
      <c r="B13" s="9" t="s">
        <v>7</v>
      </c>
      <c r="C13" s="18">
        <v>159910.23000000001</v>
      </c>
      <c r="D13" s="18">
        <v>116405.21</v>
      </c>
      <c r="E13" s="26">
        <v>43505.02</v>
      </c>
    </row>
    <row r="14" spans="1:14" x14ac:dyDescent="0.45">
      <c r="A14" s="24">
        <v>2022</v>
      </c>
      <c r="B14" s="9" t="s">
        <v>10</v>
      </c>
      <c r="C14" s="18">
        <v>32269.45</v>
      </c>
      <c r="D14" s="18"/>
      <c r="E14" s="26"/>
    </row>
    <row r="15" spans="1:14" x14ac:dyDescent="0.45">
      <c r="A15" s="24">
        <v>2023</v>
      </c>
      <c r="B15" s="9" t="s">
        <v>10</v>
      </c>
      <c r="C15" s="18">
        <v>40298.519999999997</v>
      </c>
      <c r="D15" s="18">
        <v>32269.45</v>
      </c>
      <c r="E15" s="26">
        <v>8029.07</v>
      </c>
    </row>
    <row r="16" spans="1:14" x14ac:dyDescent="0.45">
      <c r="A16" s="24">
        <v>2024</v>
      </c>
      <c r="B16" s="9" t="s">
        <v>10</v>
      </c>
      <c r="C16" s="18">
        <v>40416.99</v>
      </c>
      <c r="D16" s="18">
        <v>40298.519999999997</v>
      </c>
      <c r="E16" s="26">
        <v>118.47</v>
      </c>
    </row>
    <row r="17" spans="1:5" x14ac:dyDescent="0.45">
      <c r="A17" s="24">
        <v>2025</v>
      </c>
      <c r="B17" s="9" t="s">
        <v>10</v>
      </c>
      <c r="C17" s="18">
        <v>61084.52</v>
      </c>
      <c r="D17" s="18">
        <v>40416.99</v>
      </c>
      <c r="E17" s="26">
        <v>20667.53</v>
      </c>
    </row>
    <row r="18" spans="1:5" x14ac:dyDescent="0.45">
      <c r="A18" s="24">
        <v>2022</v>
      </c>
      <c r="B18" s="9" t="s">
        <v>5</v>
      </c>
      <c r="C18" s="18">
        <v>1511977.6</v>
      </c>
      <c r="D18" s="18"/>
      <c r="E18" s="26"/>
    </row>
    <row r="19" spans="1:5" x14ac:dyDescent="0.45">
      <c r="A19" s="24">
        <v>2023</v>
      </c>
      <c r="B19" s="9" t="s">
        <v>5</v>
      </c>
      <c r="C19" s="18">
        <v>1927244.53</v>
      </c>
      <c r="D19" s="18">
        <v>1511977.6</v>
      </c>
      <c r="E19" s="26">
        <v>415266.93</v>
      </c>
    </row>
    <row r="20" spans="1:5" x14ac:dyDescent="0.45">
      <c r="A20" s="24">
        <v>2024</v>
      </c>
      <c r="B20" s="9" t="s">
        <v>5</v>
      </c>
      <c r="C20" s="18">
        <v>1932871.91</v>
      </c>
      <c r="D20" s="18">
        <v>1927244.53</v>
      </c>
      <c r="E20" s="26">
        <v>5627.38</v>
      </c>
    </row>
    <row r="21" spans="1:5" x14ac:dyDescent="0.45">
      <c r="A21" s="24">
        <v>2025</v>
      </c>
      <c r="B21" s="9" t="s">
        <v>5</v>
      </c>
      <c r="C21" s="18">
        <v>2454843.7999999998</v>
      </c>
      <c r="D21" s="18">
        <v>1932871.91</v>
      </c>
      <c r="E21" s="26">
        <v>521971.89</v>
      </c>
    </row>
    <row r="22" spans="1:5" x14ac:dyDescent="0.45">
      <c r="A22" s="24">
        <v>2022</v>
      </c>
      <c r="B22" s="9" t="s">
        <v>6</v>
      </c>
      <c r="C22" s="18">
        <v>587975.24</v>
      </c>
      <c r="D22" s="18"/>
      <c r="E22" s="26"/>
    </row>
    <row r="23" spans="1:5" x14ac:dyDescent="0.45">
      <c r="A23" s="24">
        <v>2023</v>
      </c>
      <c r="B23" s="9" t="s">
        <v>6</v>
      </c>
      <c r="C23" s="18">
        <v>509847.59</v>
      </c>
      <c r="D23" s="18">
        <v>587975.24</v>
      </c>
      <c r="E23" s="26">
        <v>-78127.649999999994</v>
      </c>
    </row>
    <row r="24" spans="1:5" x14ac:dyDescent="0.45">
      <c r="A24" s="24">
        <v>2024</v>
      </c>
      <c r="B24" s="9" t="s">
        <v>6</v>
      </c>
      <c r="C24" s="18">
        <v>511338.87</v>
      </c>
      <c r="D24" s="18">
        <v>509847.59</v>
      </c>
      <c r="E24" s="26">
        <v>1491.28</v>
      </c>
    </row>
    <row r="25" spans="1:5" x14ac:dyDescent="0.45">
      <c r="A25" s="11">
        <v>2025</v>
      </c>
      <c r="B25" s="21" t="s">
        <v>6</v>
      </c>
      <c r="C25" s="22">
        <v>412016.17</v>
      </c>
      <c r="D25" s="22">
        <v>511338.87</v>
      </c>
      <c r="E25" s="27">
        <v>-99322.7</v>
      </c>
    </row>
  </sheetData>
  <conditionalFormatting sqref="E2:E25">
    <cfRule type="cellIs" dxfId="1" priority="1" operator="greaterThan">
      <formula>0</formula>
    </cfRule>
    <cfRule type="cellIs" dxfId="0" priority="2" operator="lessThan">
      <formula>0</formula>
    </cfRule>
  </conditionalFormatting>
  <pageMargins left="0.7" right="0.7" top="0.75" bottom="0.75" header="0.3" footer="0.3"/>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477CDE-BC97-4466-8506-6CEB0CDF0E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Dashboard</vt:lpstr>
      <vt:lpstr>Executive Report</vt:lpstr>
      <vt:lpstr>Data_Q2</vt:lpstr>
      <vt:lpstr>Data_Q4</vt:lpstr>
      <vt:lpstr>Data_Q5</vt:lpstr>
      <vt:lpstr>Data_Q6A</vt:lpstr>
      <vt:lpstr>Data_Q6B</vt:lpstr>
      <vt:lpstr>D7\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sharleen guerrero</dc:creator>
  <cp:lastModifiedBy>sharleen guerrero</cp:lastModifiedBy>
  <dcterms:created xsi:type="dcterms:W3CDTF">2026-04-29T14:40:33Z</dcterms:created>
  <dcterms:modified xsi:type="dcterms:W3CDTF">2026-04-30T19:32:50Z</dcterms:modified>
</cp:coreProperties>
</file>